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counters" sheetId="1" r:id="rId1"/>
    <sheet name="Random Roll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5"/>
  <sheetViews>
    <sheetView workbookViewId="0"/>
  </sheetViews>
  <cols>
    <col min="1" max="1" width="4.83203125" customWidth="1"/>
    <col min="2" max="2" width="55.83203125" customWidth="1"/>
    <col min="3" max="3" width="45.83203125" customWidth="1"/>
    <col min="4" max="4" width="6.83203125" customWidth="1"/>
    <col min="5" max="5" width="14.83203125" customWidth="1"/>
    <col min="6" max="6" width="20.83203125" customWidth="1"/>
    <col min="7" max="7" width="6.83203125" customWidth="1"/>
  </cols>
  <sheetData>
    <row r="1">
      <c r="A1" t="str">
        <v>#</v>
      </c>
      <c r="B1" t="str">
        <v>Encounter Name</v>
      </c>
      <c r="C1" t="str">
        <v>Battlemap</v>
      </c>
      <c r="D1" t="str">
        <v>Level</v>
      </c>
      <c r="E1" t="str">
        <v>Type</v>
      </c>
      <c r="F1" t="str">
        <v>Template</v>
      </c>
      <c r="G1" t="str">
        <v>Score</v>
      </c>
    </row>
    <row r="2">
      <c r="A2">
        <v>1</v>
      </c>
      <c r="B2" t="str">
        <v>#1 – Lvl 6 Demonic – Arctic/Far North Settlement</v>
      </c>
      <c r="C2" t="str">
        <v>Arctic/Far North Settlement</v>
      </c>
      <c r="D2">
        <v>6</v>
      </c>
      <c r="E2" t="str">
        <v>Demonic</v>
      </c>
      <c r="F2" t="str">
        <v>Skirmish Line</v>
      </c>
      <c r="G2">
        <v>113</v>
      </c>
    </row>
    <row r="3">
      <c r="A3">
        <v>2</v>
      </c>
      <c r="B3" t="str">
        <v>#2 – Lvl 6 Draconic – Hell/Lava Lands</v>
      </c>
      <c r="C3" t="str">
        <v>Hell/Lava Lands</v>
      </c>
      <c r="D3">
        <v>6</v>
      </c>
      <c r="E3" t="str">
        <v>Draconic</v>
      </c>
      <c r="F3" t="str">
        <v>Standard Fight</v>
      </c>
      <c r="G3">
        <v>99</v>
      </c>
    </row>
    <row r="4">
      <c r="A4">
        <v>3</v>
      </c>
      <c r="B4" t="str">
        <v>#3 – Lvl 6 Draconic – Wilderness/Forest Creek</v>
      </c>
      <c r="C4" t="str">
        <v>Wilderness/Forest Creek</v>
      </c>
      <c r="D4">
        <v>6</v>
      </c>
      <c r="E4" t="str">
        <v>Draconic</v>
      </c>
      <c r="F4" t="str">
        <v>Rival Warband</v>
      </c>
      <c r="G4">
        <v>77</v>
      </c>
    </row>
    <row r="5">
      <c r="A5">
        <v>4</v>
      </c>
      <c r="B5" t="str">
        <v>#4 – Lvl 6 Draconic – Wilderness/Roads</v>
      </c>
      <c r="C5" t="str">
        <v>Wilderness/Roads</v>
      </c>
      <c r="D5">
        <v>6</v>
      </c>
      <c r="E5" t="str">
        <v>Draconic</v>
      </c>
      <c r="F5" t="str">
        <v>Standard Fight</v>
      </c>
      <c r="G5">
        <v>66</v>
      </c>
    </row>
    <row r="6">
      <c r="A6">
        <v>5</v>
      </c>
      <c r="B6" t="str">
        <v>#5 – Lvl 6 Draconic – Wilderness/Standing Stones and Cultist Lair</v>
      </c>
      <c r="C6" t="str">
        <v>Wilderness/Standing Stones and Cultist Lair</v>
      </c>
      <c r="D6">
        <v>6</v>
      </c>
      <c r="E6" t="str">
        <v>Draconic</v>
      </c>
      <c r="F6" t="str">
        <v>Caster Boss</v>
      </c>
      <c r="G6">
        <v>58</v>
      </c>
    </row>
    <row r="7">
      <c r="A7">
        <v>6</v>
      </c>
      <c r="B7" t="str">
        <v>#6 – Lvl 6 Draconic – Wilderness/Tribal Camp</v>
      </c>
      <c r="C7" t="str">
        <v>Wilderness/Tribal Camp</v>
      </c>
      <c r="D7">
        <v>6</v>
      </c>
      <c r="E7" t="str">
        <v>Draconic</v>
      </c>
      <c r="F7" t="str">
        <v>Standard Fight</v>
      </c>
      <c r="G7">
        <v>49</v>
      </c>
    </row>
    <row r="8">
      <c r="A8">
        <v>7</v>
      </c>
      <c r="B8" t="str">
        <v>#7 – Lvl 6 Draconic – Wilderness/Wandering in the Wilderness</v>
      </c>
      <c r="C8" t="str">
        <v>Wilderness/Wandering in the Wilderness</v>
      </c>
      <c r="D8">
        <v>6</v>
      </c>
      <c r="E8" t="str">
        <v>Draconic</v>
      </c>
      <c r="F8" t="str">
        <v>Boss Fight</v>
      </c>
      <c r="G8">
        <v>38</v>
      </c>
    </row>
    <row r="9">
      <c r="A9">
        <v>8</v>
      </c>
      <c r="B9" t="str">
        <v>#8 – Lvl 6 Goblinoid – Cave/Idol of Avarice</v>
      </c>
      <c r="C9" t="str">
        <v>Cave/Idol of Avarice</v>
      </c>
      <c r="D9">
        <v>6</v>
      </c>
      <c r="E9" t="str">
        <v>Goblinoid</v>
      </c>
      <c r="F9" t="str">
        <v>Caster Boss</v>
      </c>
      <c r="G9">
        <v>110</v>
      </c>
    </row>
    <row r="10">
      <c r="A10">
        <v>9</v>
      </c>
      <c r="B10" t="str">
        <v>#9 – Lvl 6 Goblinoid – Cave/The Shimmering Cavern</v>
      </c>
      <c r="C10" t="str">
        <v>Cave/The Shimmering Cavern</v>
      </c>
      <c r="D10">
        <v>6</v>
      </c>
      <c r="E10" t="str">
        <v>Goblinoid</v>
      </c>
      <c r="F10" t="str">
        <v>Skirmish Line</v>
      </c>
      <c r="G10">
        <v>112</v>
      </c>
    </row>
    <row r="11">
      <c r="A11">
        <v>10</v>
      </c>
      <c r="B11" t="str">
        <v>#10 – Lvl 6 Goblinoid – Dungeon/Catacombs</v>
      </c>
      <c r="C11" t="str">
        <v>Dungeon/Catacombs</v>
      </c>
      <c r="D11">
        <v>6</v>
      </c>
      <c r="E11" t="str">
        <v>Goblinoid</v>
      </c>
      <c r="F11" t="str">
        <v>Guardian Post</v>
      </c>
      <c r="G11">
        <v>105</v>
      </c>
    </row>
    <row r="12">
      <c r="A12">
        <v>11</v>
      </c>
      <c r="B12" t="str">
        <v>#11 – Lvl 6 Goblinoid – Dungeon/Dungeon of Skulls</v>
      </c>
      <c r="C12" t="str">
        <v>Dungeon/Dungeon of Skulls</v>
      </c>
      <c r="D12">
        <v>6</v>
      </c>
      <c r="E12" t="str">
        <v>Goblinoid</v>
      </c>
      <c r="F12" t="str">
        <v>Defensive Holdout</v>
      </c>
      <c r="G12">
        <v>107</v>
      </c>
    </row>
    <row r="13">
      <c r="A13">
        <v>12</v>
      </c>
      <c r="B13" t="str">
        <v>#12 – Lvl 6 Goblinoid – Dungeon/The Masked, the Grinning, and the Silent</v>
      </c>
      <c r="C13" t="str">
        <v>Dungeon/The Masked, the Grinning, and the Silent</v>
      </c>
      <c r="D13">
        <v>6</v>
      </c>
      <c r="E13" t="str">
        <v>Goblinoid</v>
      </c>
      <c r="F13" t="str">
        <v>Caster Boss</v>
      </c>
      <c r="G13">
        <v>111</v>
      </c>
    </row>
    <row r="14">
      <c r="A14">
        <v>13</v>
      </c>
      <c r="B14" t="str">
        <v>#13 – Lvl 6 Goblinoid – Mountain/Mountain Ledge Trail</v>
      </c>
      <c r="C14" t="str">
        <v>Mountain/Mountain Ledge Trail</v>
      </c>
      <c r="D14">
        <v>6</v>
      </c>
      <c r="E14" t="str">
        <v>Goblinoid</v>
      </c>
      <c r="F14" t="str">
        <v>Defensive Holdout</v>
      </c>
      <c r="G14">
        <v>104</v>
      </c>
    </row>
    <row r="15">
      <c r="A15">
        <v>14</v>
      </c>
      <c r="B15" t="str">
        <v>#14 – Lvl 6 Goblinoid – Underdark/Floor is Spiders</v>
      </c>
      <c r="C15" t="str">
        <v>Underdark/Floor is Spiders</v>
      </c>
      <c r="D15">
        <v>6</v>
      </c>
      <c r="E15" t="str">
        <v>Goblinoid</v>
      </c>
      <c r="F15" t="str">
        <v>Caster Boss</v>
      </c>
      <c r="G15">
        <v>96</v>
      </c>
    </row>
    <row r="16">
      <c r="A16">
        <v>15</v>
      </c>
      <c r="B16" t="str">
        <v>#15 – Lvl 6 Goblinoid – Urban/Modular city</v>
      </c>
      <c r="C16" t="str">
        <v>Urban/Modular city</v>
      </c>
      <c r="D16">
        <v>6</v>
      </c>
      <c r="E16" t="str">
        <v>Goblinoid</v>
      </c>
      <c r="F16" t="str">
        <v>Caster Boss</v>
      </c>
      <c r="G16">
        <v>89</v>
      </c>
    </row>
    <row r="17">
      <c r="A17">
        <v>16</v>
      </c>
      <c r="B17" t="str">
        <v>#16 – Lvl 6 Infernal – Arctic/Frozen Lands</v>
      </c>
      <c r="C17" t="str">
        <v>Arctic/Frozen Lands</v>
      </c>
      <c r="D17">
        <v>6</v>
      </c>
      <c r="E17" t="str">
        <v>Infernal</v>
      </c>
      <c r="F17" t="str">
        <v>Boss Fight</v>
      </c>
      <c r="G17">
        <v>106</v>
      </c>
    </row>
    <row r="18">
      <c r="A18">
        <v>17</v>
      </c>
      <c r="B18" t="str">
        <v>#17 – Lvl 6 Infernal – Arctic/Snowy Trails and Hunting Lodge</v>
      </c>
      <c r="C18" t="str">
        <v>Arctic/Snowy Trails and Hunting Lodge</v>
      </c>
      <c r="D18">
        <v>6</v>
      </c>
      <c r="E18" t="str">
        <v>Infernal</v>
      </c>
      <c r="F18" t="str">
        <v>Standard Fight</v>
      </c>
      <c r="G18">
        <v>109</v>
      </c>
    </row>
    <row r="19">
      <c r="A19">
        <v>18</v>
      </c>
      <c r="B19" t="str">
        <v>#18 – Lvl 6 Infernal – Desert/Ziggurat</v>
      </c>
      <c r="C19" t="str">
        <v>Desert/Ziggurat</v>
      </c>
      <c r="D19">
        <v>6</v>
      </c>
      <c r="E19" t="str">
        <v>Infernal</v>
      </c>
      <c r="F19" t="str">
        <v>Standard Fight</v>
      </c>
      <c r="G19">
        <v>109</v>
      </c>
    </row>
    <row r="20">
      <c r="A20">
        <v>19</v>
      </c>
      <c r="B20" t="str">
        <v>#19 – Lvl 6 Shapechanger – Arctic/Icy Wasteland</v>
      </c>
      <c r="C20" t="str">
        <v>Arctic/Icy Wasteland</v>
      </c>
      <c r="D20">
        <v>6</v>
      </c>
      <c r="E20" t="str">
        <v>Shapechanger</v>
      </c>
      <c r="F20" t="str">
        <v>Skirmish Line</v>
      </c>
      <c r="G20">
        <v>111</v>
      </c>
    </row>
    <row r="21">
      <c r="A21">
        <v>20</v>
      </c>
      <c r="B21" t="str">
        <v>#20 – Lvl 6 Undead – Cave/Modular Cave</v>
      </c>
      <c r="C21" t="str">
        <v>Cave/Modular Cave</v>
      </c>
      <c r="D21">
        <v>6</v>
      </c>
      <c r="E21" t="str">
        <v>Undead</v>
      </c>
      <c r="F21" t="str">
        <v>Guardian Post</v>
      </c>
      <c r="G21">
        <v>108</v>
      </c>
    </row>
    <row r="22">
      <c r="A22">
        <v>21</v>
      </c>
      <c r="B22" t="str">
        <v>#21 – Lvl 6 Undead – Cave/Waterfilled Cavern</v>
      </c>
      <c r="C22" t="str">
        <v>Cave/Waterfilled Cavern</v>
      </c>
      <c r="D22">
        <v>6</v>
      </c>
      <c r="E22" t="str">
        <v>Undead</v>
      </c>
      <c r="F22" t="str">
        <v>Skirmish Line</v>
      </c>
      <c r="G22">
        <v>105</v>
      </c>
    </row>
    <row r="23">
      <c r="A23">
        <v>22</v>
      </c>
      <c r="B23" t="str">
        <v>#22 – Lvl 6 Undead – Desert/Rock Cut Temple</v>
      </c>
      <c r="C23" t="str">
        <v>Desert/Rock Cut Temple</v>
      </c>
      <c r="D23">
        <v>6</v>
      </c>
      <c r="E23" t="str">
        <v>Undead</v>
      </c>
      <c r="F23" t="str">
        <v>Defensive Holdout</v>
      </c>
      <c r="G23">
        <v>108</v>
      </c>
    </row>
    <row r="24">
      <c r="A24">
        <v>23</v>
      </c>
      <c r="B24" t="str">
        <v>#23 – Lvl 6 Undead – Dungeon/Beneath the Mausoleum</v>
      </c>
      <c r="C24" t="str">
        <v>Dungeon/Beneath the Mausoleum</v>
      </c>
      <c r="D24">
        <v>6</v>
      </c>
      <c r="E24" t="str">
        <v>Undead</v>
      </c>
      <c r="F24" t="str">
        <v>Standard Fight</v>
      </c>
      <c r="G24">
        <v>111</v>
      </c>
    </row>
    <row r="25">
      <c r="A25">
        <v>24</v>
      </c>
      <c r="B25" t="str">
        <v>#24 – Lvl 6 Undead – Dungeon/Desecrated Sanctum</v>
      </c>
      <c r="C25" t="str">
        <v>Dungeon/Desecrated Sanctum</v>
      </c>
      <c r="D25">
        <v>6</v>
      </c>
      <c r="E25" t="str">
        <v>Undead</v>
      </c>
      <c r="F25" t="str">
        <v>Control Zone</v>
      </c>
      <c r="G25">
        <v>105</v>
      </c>
    </row>
    <row r="26">
      <c r="A26">
        <v>25</v>
      </c>
      <c r="B26" t="str">
        <v>#25 – Lvl 6 Undead – Dungeon/Haunted Crypts</v>
      </c>
      <c r="C26" t="str">
        <v>Dungeon/Haunted Crypts</v>
      </c>
      <c r="D26">
        <v>6</v>
      </c>
      <c r="E26" t="str">
        <v>Undead</v>
      </c>
      <c r="F26" t="str">
        <v>Control Zone</v>
      </c>
      <c r="G26">
        <v>106</v>
      </c>
    </row>
    <row r="27">
      <c r="A27">
        <v>26</v>
      </c>
      <c r="B27" t="str">
        <v>#26 – Lvl 6 Undead – Mountain/Cackling Chasm</v>
      </c>
      <c r="C27" t="str">
        <v>Mountain/Cackling Chasm</v>
      </c>
      <c r="D27">
        <v>6</v>
      </c>
      <c r="E27" t="str">
        <v>Undead</v>
      </c>
      <c r="F27" t="str">
        <v>Control Zone</v>
      </c>
      <c r="G27">
        <v>106</v>
      </c>
    </row>
    <row r="28">
      <c r="A28">
        <v>27</v>
      </c>
      <c r="B28" t="str">
        <v>#27 – Lvl 6 Undead – Mountain/Raider Camp – Ravine</v>
      </c>
      <c r="C28" t="str">
        <v>Mountain/Raider Camp – Ravine</v>
      </c>
      <c r="D28">
        <v>6</v>
      </c>
      <c r="E28" t="str">
        <v>Undead</v>
      </c>
      <c r="F28" t="str">
        <v>Control Zone</v>
      </c>
      <c r="G28">
        <v>105</v>
      </c>
    </row>
    <row r="29">
      <c r="A29">
        <v>28</v>
      </c>
      <c r="B29" t="str">
        <v>#28 – Lvl 6 Undead – Mountain/Shadows of Things Lost</v>
      </c>
      <c r="C29" t="str">
        <v>Mountain/Shadows of Things Lost</v>
      </c>
      <c r="D29">
        <v>6</v>
      </c>
      <c r="E29" t="str">
        <v>Undead</v>
      </c>
      <c r="F29" t="str">
        <v>Skirmish Line</v>
      </c>
      <c r="G29">
        <v>111</v>
      </c>
    </row>
    <row r="30">
      <c r="A30">
        <v>29</v>
      </c>
      <c r="B30" t="str">
        <v>#29 – Lvl 6 Undead – Rivers/Canyon</v>
      </c>
      <c r="C30" t="str">
        <v>Rivers/Canyon</v>
      </c>
      <c r="D30">
        <v>6</v>
      </c>
      <c r="E30" t="str">
        <v>Undead</v>
      </c>
      <c r="F30" t="str">
        <v>Control Zone</v>
      </c>
      <c r="G30">
        <v>98</v>
      </c>
    </row>
    <row r="31">
      <c r="A31">
        <v>30</v>
      </c>
      <c r="B31" t="str">
        <v>#30 – Lvl 6 Undead – Wilderness/Old Cobbled Road in Shadowfell</v>
      </c>
      <c r="C31" t="str">
        <v>Wilderness/Old Cobbled Road in Shadowfell</v>
      </c>
      <c r="D31">
        <v>6</v>
      </c>
      <c r="E31" t="str">
        <v>Undead</v>
      </c>
      <c r="F31" t="str">
        <v>Defensive Holdout</v>
      </c>
      <c r="G31">
        <v>76</v>
      </c>
    </row>
    <row r="32">
      <c r="A32">
        <v>31</v>
      </c>
      <c r="B32" t="str">
        <v>#31 – Lvl 7 Beast – Desert/Desert</v>
      </c>
      <c r="C32" t="str">
        <v>Desert/Desert</v>
      </c>
      <c r="D32">
        <v>7</v>
      </c>
      <c r="E32" t="str">
        <v>Beast</v>
      </c>
      <c r="F32" t="str">
        <v>Boss Fight</v>
      </c>
      <c r="G32">
        <v>111</v>
      </c>
    </row>
    <row r="33">
      <c r="A33">
        <v>32</v>
      </c>
      <c r="B33" t="str">
        <v>#32 – Lvl 7 Demonic – Hell/Encounters and chase in Avernus</v>
      </c>
      <c r="C33" t="str">
        <v>Hell/Encounters and chase in Avernus</v>
      </c>
      <c r="D33">
        <v>7</v>
      </c>
      <c r="E33" t="str">
        <v>Demonic</v>
      </c>
      <c r="F33" t="str">
        <v>Standard Fight</v>
      </c>
      <c r="G33">
        <v>101</v>
      </c>
    </row>
    <row r="34">
      <c r="A34">
        <v>33</v>
      </c>
      <c r="B34" t="str">
        <v>#33 – Lvl 7 Goblinoid – Cave/Echo of the Oracle</v>
      </c>
      <c r="C34" t="str">
        <v>Cave/Echo of the Oracle</v>
      </c>
      <c r="D34">
        <v>7</v>
      </c>
      <c r="E34" t="str">
        <v>Goblinoid</v>
      </c>
      <c r="F34" t="str">
        <v>Guardian Post</v>
      </c>
      <c r="G34">
        <v>105</v>
      </c>
    </row>
    <row r="35">
      <c r="A35">
        <v>34</v>
      </c>
      <c r="B35" t="str">
        <v>#34 – Lvl 7 Goblinoid – Mountain/Rocky Path</v>
      </c>
      <c r="C35" t="str">
        <v>Mountain/Rocky Path</v>
      </c>
      <c r="D35">
        <v>7</v>
      </c>
      <c r="E35" t="str">
        <v>Goblinoid</v>
      </c>
      <c r="F35" t="str">
        <v>Boss Fight</v>
      </c>
      <c r="G35">
        <v>101</v>
      </c>
    </row>
    <row r="36">
      <c r="A36">
        <v>35</v>
      </c>
      <c r="B36" t="str">
        <v>#35 – Lvl 7 Goblinoid – Mountain/Ruined Castle</v>
      </c>
      <c r="C36" t="str">
        <v>Mountain/Ruined Castle</v>
      </c>
      <c r="D36">
        <v>7</v>
      </c>
      <c r="E36" t="str">
        <v>Goblinoid</v>
      </c>
      <c r="F36" t="str">
        <v>Boss Fight</v>
      </c>
      <c r="G36">
        <v>105</v>
      </c>
    </row>
    <row r="37">
      <c r="A37">
        <v>36</v>
      </c>
      <c r="B37" t="str">
        <v>#36 – Lvl 7 Goblinoid – Rivers, Rapids/Dragonbone Valley</v>
      </c>
      <c r="C37" t="str">
        <v>Rivers, Rapids/Dragonbone Valley</v>
      </c>
      <c r="D37">
        <v>7</v>
      </c>
      <c r="E37" t="str">
        <v>Goblinoid</v>
      </c>
      <c r="F37" t="str">
        <v>Boss Fight</v>
      </c>
      <c r="G37">
        <v>101</v>
      </c>
    </row>
    <row r="38">
      <c r="A38">
        <v>37</v>
      </c>
      <c r="B38" t="str">
        <v>#37 – Lvl 7 Goblinoid – Underdark/Underdark Fissures</v>
      </c>
      <c r="C38" t="str">
        <v>Underdark/Underdark Fissures</v>
      </c>
      <c r="D38">
        <v>7</v>
      </c>
      <c r="E38" t="str">
        <v>Goblinoid</v>
      </c>
      <c r="F38" t="str">
        <v>Boss Fight</v>
      </c>
      <c r="G38">
        <v>93</v>
      </c>
    </row>
    <row r="39">
      <c r="A39">
        <v>38</v>
      </c>
      <c r="B39" t="str">
        <v>#38 – Lvl 7 Goblinoid – Village/Windmill Farm</v>
      </c>
      <c r="C39" t="str">
        <v>Village/Windmill Farm</v>
      </c>
      <c r="D39">
        <v>7</v>
      </c>
      <c r="E39" t="str">
        <v>Goblinoid</v>
      </c>
      <c r="F39" t="str">
        <v>Boss Fight</v>
      </c>
      <c r="G39">
        <v>86</v>
      </c>
    </row>
    <row r="40">
      <c r="A40">
        <v>39</v>
      </c>
      <c r="B40" t="str">
        <v>#39 – Lvl 7 Goblinoid – Wilderness/Modular Swamp</v>
      </c>
      <c r="C40" t="str">
        <v>Wilderness/Modular Swamp</v>
      </c>
      <c r="D40">
        <v>7</v>
      </c>
      <c r="E40" t="str">
        <v>Goblinoid</v>
      </c>
      <c r="F40" t="str">
        <v>Control Zone</v>
      </c>
      <c r="G40">
        <v>66</v>
      </c>
    </row>
    <row r="41">
      <c r="A41">
        <v>40</v>
      </c>
      <c r="B41" t="str">
        <v>#40 – Lvl 7 Goblinoid – Wilderness/Wilderness Encounters</v>
      </c>
      <c r="C41" t="str">
        <v>Wilderness/Wilderness Encounters</v>
      </c>
      <c r="D41">
        <v>7</v>
      </c>
      <c r="E41" t="str">
        <v>Goblinoid</v>
      </c>
      <c r="F41" t="str">
        <v>Rival Warband</v>
      </c>
      <c r="G41">
        <v>37</v>
      </c>
    </row>
    <row r="42">
      <c r="A42">
        <v>41</v>
      </c>
      <c r="B42" t="str">
        <v>#41 – Lvl 7 Infernal – Arctic/Deepmound Grotto</v>
      </c>
      <c r="C42" t="str">
        <v>Arctic/Deepmound Grotto</v>
      </c>
      <c r="D42">
        <v>7</v>
      </c>
      <c r="E42" t="str">
        <v>Infernal</v>
      </c>
      <c r="F42" t="str">
        <v>Standard Fight</v>
      </c>
      <c r="G42">
        <v>110</v>
      </c>
    </row>
    <row r="43">
      <c r="A43">
        <v>42</v>
      </c>
      <c r="B43" t="str">
        <v>#42 – Lvl 7 Infernal – Arctic/Frozen Grids</v>
      </c>
      <c r="C43" t="str">
        <v>Arctic/Frozen Grids</v>
      </c>
      <c r="D43">
        <v>7</v>
      </c>
      <c r="E43" t="str">
        <v>Infernal</v>
      </c>
      <c r="F43" t="str">
        <v>Standard Fight</v>
      </c>
      <c r="G43">
        <v>110</v>
      </c>
    </row>
    <row r="44">
      <c r="A44">
        <v>43</v>
      </c>
      <c r="B44" t="str">
        <v>#43 – Lvl 7 Infernal – Arctic/Ice Cavern</v>
      </c>
      <c r="C44" t="str">
        <v>Arctic/Ice Cavern</v>
      </c>
      <c r="D44">
        <v>7</v>
      </c>
      <c r="E44" t="str">
        <v>Infernal</v>
      </c>
      <c r="F44" t="str">
        <v>Rival Warband</v>
      </c>
      <c r="G44">
        <v>109</v>
      </c>
    </row>
    <row r="45">
      <c r="A45">
        <v>44</v>
      </c>
      <c r="B45" t="str">
        <v>#44 – Lvl 7 Infernal – Hell/Dark Portals and plain dungeon floors</v>
      </c>
      <c r="C45" t="str">
        <v>Hell/Dark Portals and plain dungeon floors</v>
      </c>
      <c r="D45">
        <v>7</v>
      </c>
      <c r="E45" t="str">
        <v>Infernal</v>
      </c>
      <c r="F45" t="str">
        <v>Standard Fight</v>
      </c>
      <c r="G45">
        <v>96</v>
      </c>
    </row>
    <row r="46">
      <c r="A46">
        <v>45</v>
      </c>
      <c r="B46" t="str">
        <v>#45 – Lvl 7 Infernal – Rivers, Rapids/Riverside encounter</v>
      </c>
      <c r="C46" t="str">
        <v>Rivers, Rapids/Riverside encounter</v>
      </c>
      <c r="D46">
        <v>7</v>
      </c>
      <c r="E46" t="str">
        <v>Infernal</v>
      </c>
      <c r="F46" t="str">
        <v>Boss Fight</v>
      </c>
      <c r="G46">
        <v>104</v>
      </c>
    </row>
    <row r="47">
      <c r="A47">
        <v>46</v>
      </c>
      <c r="B47" t="str">
        <v>#46 – Lvl 7 Shapechanger – Arctic/Winterpack</v>
      </c>
      <c r="C47" t="str">
        <v>Arctic/Winterpack</v>
      </c>
      <c r="D47">
        <v>7</v>
      </c>
      <c r="E47" t="str">
        <v>Shapechanger</v>
      </c>
      <c r="F47" t="str">
        <v>Boss Fight</v>
      </c>
      <c r="G47">
        <v>109</v>
      </c>
    </row>
    <row r="48">
      <c r="A48">
        <v>47</v>
      </c>
      <c r="B48" t="str">
        <v>#47 – Lvl 7 Shapechanger – Mountain/Rocky Ledge</v>
      </c>
      <c r="C48" t="str">
        <v>Mountain/Rocky Ledge</v>
      </c>
      <c r="D48">
        <v>7</v>
      </c>
      <c r="E48" t="str">
        <v>Shapechanger</v>
      </c>
      <c r="F48" t="str">
        <v>Standard Fight</v>
      </c>
      <c r="G48">
        <v>109</v>
      </c>
    </row>
    <row r="49">
      <c r="A49">
        <v>48</v>
      </c>
      <c r="B49" t="str">
        <v>#48 – Lvl 7 Undead – Mountain/Cave of the Berserkers</v>
      </c>
      <c r="C49" t="str">
        <v>Mountain/Cave of the Berserkers</v>
      </c>
      <c r="D49">
        <v>7</v>
      </c>
      <c r="E49" t="str">
        <v>Undead</v>
      </c>
      <c r="F49" t="str">
        <v>Control Zone</v>
      </c>
      <c r="G49">
        <v>103</v>
      </c>
    </row>
    <row r="50">
      <c r="A50">
        <v>49</v>
      </c>
      <c r="B50" t="str">
        <v>#49 – Lvl 7 Undead – Mountain/High Mountain Cliffs</v>
      </c>
      <c r="C50" t="str">
        <v>Mountain/High Mountain Cliffs</v>
      </c>
      <c r="D50">
        <v>7</v>
      </c>
      <c r="E50" t="str">
        <v>Undead</v>
      </c>
      <c r="F50" t="str">
        <v>Control Zone</v>
      </c>
      <c r="G50">
        <v>104</v>
      </c>
    </row>
    <row r="51">
      <c r="A51">
        <v>50</v>
      </c>
      <c r="B51" t="str">
        <v>#50 – Lvl 7 Undead – Mountain/Mountain Ruins</v>
      </c>
      <c r="C51" t="str">
        <v>Mountain/Mountain Ruins</v>
      </c>
      <c r="D51">
        <v>7</v>
      </c>
      <c r="E51" t="str">
        <v>Undead</v>
      </c>
      <c r="F51" t="str">
        <v>Guardian Post</v>
      </c>
      <c r="G51">
        <v>104</v>
      </c>
    </row>
    <row r="52">
      <c r="A52">
        <v>51</v>
      </c>
      <c r="B52" t="str">
        <v>#51 – Lvl 7 Undead – Ocean/Wilderness Encounters</v>
      </c>
      <c r="C52" t="str">
        <v>Ocean/Wilderness Encounters</v>
      </c>
      <c r="D52">
        <v>7</v>
      </c>
      <c r="E52" t="str">
        <v>Undead</v>
      </c>
      <c r="F52" t="str">
        <v>Boss Fight</v>
      </c>
      <c r="G52">
        <v>94</v>
      </c>
    </row>
    <row r="53">
      <c r="A53">
        <v>52</v>
      </c>
      <c r="B53" t="str">
        <v>#52 – Lvl 7 Undead – Ocean/Yeti Cave</v>
      </c>
      <c r="C53" t="str">
        <v>Ocean/Yeti Cave</v>
      </c>
      <c r="D53">
        <v>7</v>
      </c>
      <c r="E53" t="str">
        <v>Undead</v>
      </c>
      <c r="F53" t="str">
        <v>Control Zone</v>
      </c>
      <c r="G53">
        <v>97</v>
      </c>
    </row>
    <row r="54">
      <c r="A54">
        <v>53</v>
      </c>
      <c r="B54" t="str">
        <v>#53 – Lvl 7 Undead – Rivers, Rapids/Canyon</v>
      </c>
      <c r="C54" t="str">
        <v>Rivers, Rapids/Canyon</v>
      </c>
      <c r="D54">
        <v>7</v>
      </c>
      <c r="E54" t="str">
        <v>Undead</v>
      </c>
      <c r="F54" t="str">
        <v>Boss Fight</v>
      </c>
      <c r="G54">
        <v>99</v>
      </c>
    </row>
    <row r="55">
      <c r="A55">
        <v>54</v>
      </c>
      <c r="B55" t="str">
        <v>#54 – Lvl 7 Undead – Rivers, Rapids/Riverside Cliffs</v>
      </c>
      <c r="C55" t="str">
        <v>Rivers, Rapids/Riverside Cliffs</v>
      </c>
      <c r="D55">
        <v>7</v>
      </c>
      <c r="E55" t="str">
        <v>Undead</v>
      </c>
      <c r="F55" t="str">
        <v>Control Zone</v>
      </c>
      <c r="G55">
        <v>97</v>
      </c>
    </row>
    <row r="56">
      <c r="A56">
        <v>55</v>
      </c>
      <c r="B56" t="str">
        <v>#55 – Lvl 7 Undead – Rivers, Rapids/Rocky Gorge Pass</v>
      </c>
      <c r="C56" t="str">
        <v>Rivers, Rapids/Rocky Gorge Pass</v>
      </c>
      <c r="D56">
        <v>7</v>
      </c>
      <c r="E56" t="str">
        <v>Undead</v>
      </c>
      <c r="F56" t="str">
        <v>Control Zone</v>
      </c>
      <c r="G56">
        <v>102</v>
      </c>
    </row>
    <row r="57">
      <c r="A57">
        <v>56</v>
      </c>
      <c r="B57" t="str">
        <v>#56 – Lvl 7 Undead – Rivers/Gravel Road Along a Creek</v>
      </c>
      <c r="C57" t="str">
        <v>Rivers/Gravel Road Along a Creek</v>
      </c>
      <c r="D57">
        <v>7</v>
      </c>
      <c r="E57" t="str">
        <v>Undead</v>
      </c>
      <c r="F57" t="str">
        <v>Standard Fight</v>
      </c>
      <c r="G57">
        <v>88</v>
      </c>
    </row>
    <row r="58">
      <c r="A58">
        <v>57</v>
      </c>
      <c r="B58" t="str">
        <v>#57 – Lvl 7 Undead – Wilderness/Forest Road Pursuit</v>
      </c>
      <c r="C58" t="str">
        <v>Wilderness/Forest Road Pursuit</v>
      </c>
      <c r="D58">
        <v>7</v>
      </c>
      <c r="E58" t="str">
        <v>Undead</v>
      </c>
      <c r="F58" t="str">
        <v>Control Zone</v>
      </c>
      <c r="G58">
        <v>72</v>
      </c>
    </row>
    <row r="59">
      <c r="A59">
        <v>58</v>
      </c>
      <c r="B59" t="str">
        <v>#58 – Lvl 7 Undead – Wilderness/Thieves Hideout</v>
      </c>
      <c r="C59" t="str">
        <v>Wilderness/Thieves Hideout</v>
      </c>
      <c r="D59">
        <v>7</v>
      </c>
      <c r="E59" t="str">
        <v>Undead</v>
      </c>
      <c r="F59" t="str">
        <v>Standard Fight</v>
      </c>
      <c r="G59">
        <v>54</v>
      </c>
    </row>
    <row r="60">
      <c r="A60">
        <v>59</v>
      </c>
      <c r="B60" t="str">
        <v>#59 – Lvl 8 Aberrant – Dungeon/Dungeon of the Flexing Prince</v>
      </c>
      <c r="C60" t="str">
        <v>Dungeon/Dungeon of the Flexing Prince</v>
      </c>
      <c r="D60">
        <v>8</v>
      </c>
      <c r="E60" t="str">
        <v>Aberrant</v>
      </c>
      <c r="F60" t="str">
        <v>Skirmish Line</v>
      </c>
      <c r="G60">
        <v>104</v>
      </c>
    </row>
    <row r="61">
      <c r="A61">
        <v>60</v>
      </c>
      <c r="B61" t="str">
        <v>#60 – Lvl 8 Aberrant – Dungeon/Modular dungeon tiles</v>
      </c>
      <c r="C61" t="str">
        <v>Dungeon/Modular dungeon tiles</v>
      </c>
      <c r="D61">
        <v>8</v>
      </c>
      <c r="E61" t="str">
        <v>Aberrant</v>
      </c>
      <c r="F61" t="str">
        <v>Standard Fight</v>
      </c>
      <c r="G61">
        <v>105</v>
      </c>
    </row>
    <row r="62">
      <c r="A62">
        <v>61</v>
      </c>
      <c r="B62" t="str">
        <v>#61 – Lvl 8 Aberrant – Rivers, Rapids/Duergar Outpost</v>
      </c>
      <c r="C62" t="str">
        <v>Rivers, Rapids/Duergar Outpost</v>
      </c>
      <c r="D62">
        <v>8</v>
      </c>
      <c r="E62" t="str">
        <v>Aberrant</v>
      </c>
      <c r="F62" t="str">
        <v>Boss Fight</v>
      </c>
      <c r="G62">
        <v>103</v>
      </c>
    </row>
    <row r="63">
      <c r="A63">
        <v>62</v>
      </c>
      <c r="B63" t="str">
        <v>#62 – Lvl 8 Aberrant – Rivers, Rapids/Watermill Defence</v>
      </c>
      <c r="C63" t="str">
        <v>Rivers, Rapids/Watermill Defence</v>
      </c>
      <c r="D63">
        <v>8</v>
      </c>
      <c r="E63" t="str">
        <v>Aberrant</v>
      </c>
      <c r="F63" t="str">
        <v>Boss Fight</v>
      </c>
      <c r="G63">
        <v>97</v>
      </c>
    </row>
    <row r="64">
      <c r="A64">
        <v>63</v>
      </c>
      <c r="B64" t="str">
        <v>#63 – Lvl 8 Demonic – Cave/Deluged Cave and Magma Cave</v>
      </c>
      <c r="C64" t="str">
        <v>Cave/Deluged Cave and Magma Cave</v>
      </c>
      <c r="D64">
        <v>8</v>
      </c>
      <c r="E64" t="str">
        <v>Demonic</v>
      </c>
      <c r="F64" t="str">
        <v>Standard Fight</v>
      </c>
      <c r="G64">
        <v>104</v>
      </c>
    </row>
    <row r="65">
      <c r="A65">
        <v>64</v>
      </c>
      <c r="B65" t="str">
        <v>#64 – Lvl 8 Demonic – Hell/Adventures in the depths of hell</v>
      </c>
      <c r="C65" t="str">
        <v>Hell/Adventures in the depths of hell</v>
      </c>
      <c r="D65">
        <v>8</v>
      </c>
      <c r="E65" t="str">
        <v>Demonic</v>
      </c>
      <c r="F65" t="str">
        <v>Standard Fight</v>
      </c>
      <c r="G65">
        <v>102</v>
      </c>
    </row>
    <row r="66">
      <c r="A66">
        <v>65</v>
      </c>
      <c r="B66" t="str">
        <v>#65 – Lvl 8 Demonic – Rivers/River Styx</v>
      </c>
      <c r="C66" t="str">
        <v>Rivers/River Styx</v>
      </c>
      <c r="D66">
        <v>8</v>
      </c>
      <c r="E66" t="str">
        <v>Demonic</v>
      </c>
      <c r="F66" t="str">
        <v>Standard Fight</v>
      </c>
      <c r="G66">
        <v>102</v>
      </c>
    </row>
    <row r="67">
      <c r="A67">
        <v>66</v>
      </c>
      <c r="B67" t="str">
        <v>#66 – Lvl 8 Goblinoid – Tavern/Inn of Found Comfort</v>
      </c>
      <c r="C67" t="str">
        <v>Tavern/Inn of Found Comfort</v>
      </c>
      <c r="D67">
        <v>8</v>
      </c>
      <c r="E67" t="str">
        <v>Goblinoid</v>
      </c>
      <c r="F67" t="str">
        <v>Boss Fight</v>
      </c>
      <c r="G67">
        <v>102</v>
      </c>
    </row>
    <row r="68">
      <c r="A68">
        <v>67</v>
      </c>
      <c r="B68" t="str">
        <v>#67 – Lvl 8 Goblinoid – Underdark/Spore Song</v>
      </c>
      <c r="C68" t="str">
        <v>Underdark/Spore Song</v>
      </c>
      <c r="D68">
        <v>8</v>
      </c>
      <c r="E68" t="str">
        <v>Goblinoid</v>
      </c>
      <c r="F68" t="str">
        <v>Boss Fight</v>
      </c>
      <c r="G68">
        <v>93</v>
      </c>
    </row>
    <row r="69">
      <c r="A69">
        <v>68</v>
      </c>
      <c r="B69" t="str">
        <v>#68 – Lvl 8 Goblinoid – Village/Smallpond</v>
      </c>
      <c r="C69" t="str">
        <v>Village/Smallpond</v>
      </c>
      <c r="D69">
        <v>8</v>
      </c>
      <c r="E69" t="str">
        <v>Goblinoid</v>
      </c>
      <c r="F69" t="str">
        <v>Boss Fight</v>
      </c>
      <c r="G69">
        <v>89</v>
      </c>
    </row>
    <row r="70">
      <c r="A70">
        <v>69</v>
      </c>
      <c r="B70" t="str">
        <v>#69 – Lvl 8 Goblinoid – Wilderness/Uphill Ruins</v>
      </c>
      <c r="C70" t="str">
        <v>Wilderness/Uphill Ruins</v>
      </c>
      <c r="D70">
        <v>8</v>
      </c>
      <c r="E70" t="str">
        <v>Goblinoid</v>
      </c>
      <c r="F70" t="str">
        <v>Caster Boss</v>
      </c>
      <c r="G70">
        <v>46</v>
      </c>
    </row>
    <row r="71">
      <c r="A71">
        <v>70</v>
      </c>
      <c r="B71" t="str">
        <v>#70 – Lvl 8 Humanoid – Rivers/Riverside Cliffs</v>
      </c>
      <c r="C71" t="str">
        <v>Rivers/Riverside Cliffs</v>
      </c>
      <c r="D71">
        <v>8</v>
      </c>
      <c r="E71" t="str">
        <v>Humanoid</v>
      </c>
      <c r="F71" t="str">
        <v>Boss Fight</v>
      </c>
      <c r="G71">
        <v>96</v>
      </c>
    </row>
    <row r="72">
      <c r="A72">
        <v>71</v>
      </c>
      <c r="B72" t="str">
        <v>#71 – Lvl 8 Infernal – Mountain/Cave Entrance</v>
      </c>
      <c r="C72" t="str">
        <v>Mountain/Cave Entrance</v>
      </c>
      <c r="D72">
        <v>8</v>
      </c>
      <c r="E72" t="str">
        <v>Infernal</v>
      </c>
      <c r="F72" t="str">
        <v>Defensive Holdout</v>
      </c>
      <c r="G72">
        <v>105</v>
      </c>
    </row>
    <row r="73">
      <c r="A73">
        <v>72</v>
      </c>
      <c r="B73" t="str">
        <v>#72 – Lvl 8 Infernal – Wilderness/Lost in the Jungle</v>
      </c>
      <c r="C73" t="str">
        <v>Wilderness/Lost in the Jungle</v>
      </c>
      <c r="D73">
        <v>8</v>
      </c>
      <c r="E73" t="str">
        <v>Infernal</v>
      </c>
      <c r="F73" t="str">
        <v>Boss Fight</v>
      </c>
      <c r="G73">
        <v>67</v>
      </c>
    </row>
    <row r="74">
      <c r="A74">
        <v>73</v>
      </c>
      <c r="B74" t="str">
        <v>#73 – Lvl 8 Shapechanger – Ocean/Maelstrom</v>
      </c>
      <c r="C74" t="str">
        <v>Ocean/Maelstrom</v>
      </c>
      <c r="D74">
        <v>8</v>
      </c>
      <c r="E74" t="str">
        <v>Shapechanger</v>
      </c>
      <c r="F74" t="str">
        <v>Standard Fight</v>
      </c>
      <c r="G74">
        <v>102</v>
      </c>
    </row>
    <row r="75">
      <c r="A75">
        <v>74</v>
      </c>
      <c r="B75" t="str">
        <v>#74 – Lvl 8 Shapechanger – Ocean/Wizard's Tower</v>
      </c>
      <c r="C75" t="str">
        <v>Ocean/Wizard's Tower</v>
      </c>
      <c r="D75">
        <v>8</v>
      </c>
      <c r="E75" t="str">
        <v>Shapechanger</v>
      </c>
      <c r="F75" t="str">
        <v>Boss Fight</v>
      </c>
      <c r="G75">
        <v>110</v>
      </c>
    </row>
    <row r="76">
      <c r="A76">
        <v>75</v>
      </c>
      <c r="B76" t="str">
        <v>#75 – Lvl 8 Shapechanger – Rivers, Rapids/Surviving the Rapids</v>
      </c>
      <c r="C76" t="str">
        <v>Rivers, Rapids/Surviving the Rapids</v>
      </c>
      <c r="D76">
        <v>8</v>
      </c>
      <c r="E76" t="str">
        <v>Shapechanger</v>
      </c>
      <c r="F76" t="str">
        <v>Standard Fight</v>
      </c>
      <c r="G76">
        <v>101</v>
      </c>
    </row>
    <row r="77">
      <c r="A77">
        <v>76</v>
      </c>
      <c r="B77" t="str">
        <v>#76 – Lvl 8 Shapechanger – Rivers/Surviving the Rapids</v>
      </c>
      <c r="C77" t="str">
        <v>Rivers/Surviving the Rapids</v>
      </c>
      <c r="D77">
        <v>8</v>
      </c>
      <c r="E77" t="str">
        <v>Shapechanger</v>
      </c>
      <c r="F77" t="str">
        <v>Caster Boss</v>
      </c>
      <c r="G77">
        <v>73</v>
      </c>
    </row>
    <row r="78">
      <c r="A78">
        <v>77</v>
      </c>
      <c r="B78" t="str">
        <v>#77 – Lvl 8 Shapechanger – Wilderness/Feywild Adventures</v>
      </c>
      <c r="C78" t="str">
        <v>Wilderness/Feywild Adventures</v>
      </c>
      <c r="D78">
        <v>8</v>
      </c>
      <c r="E78" t="str">
        <v>Shapechanger</v>
      </c>
      <c r="F78" t="str">
        <v>Standard Fight</v>
      </c>
      <c r="G78">
        <v>82</v>
      </c>
    </row>
    <row r="79">
      <c r="A79">
        <v>78</v>
      </c>
      <c r="B79" t="str">
        <v>#78 – Lvl 8 Undead – Dungeon/Harm Chambers</v>
      </c>
      <c r="C79" t="str">
        <v>Dungeon/Harm Chambers</v>
      </c>
      <c r="D79">
        <v>8</v>
      </c>
      <c r="E79" t="str">
        <v>Undead</v>
      </c>
      <c r="F79" t="str">
        <v>Defensive Holdout</v>
      </c>
      <c r="G79">
        <v>106</v>
      </c>
    </row>
    <row r="80">
      <c r="A80">
        <v>79</v>
      </c>
      <c r="B80" t="str">
        <v>#79 – Lvl 8 Undead – Rivers, Rapids/Vistani Camp and Riverside Encounters</v>
      </c>
      <c r="C80" t="str">
        <v>Rivers, Rapids/Vistani Camp and Riverside Encounters</v>
      </c>
      <c r="D80">
        <v>8</v>
      </c>
      <c r="E80" t="str">
        <v>Undead</v>
      </c>
      <c r="F80" t="str">
        <v>Standard Fight</v>
      </c>
      <c r="G80">
        <v>92</v>
      </c>
    </row>
    <row r="81">
      <c r="A81">
        <v>80</v>
      </c>
      <c r="B81" t="str">
        <v>#80 – Lvl 8 Undead – Rivers, Rapids/White Water Meadows</v>
      </c>
      <c r="C81" t="str">
        <v>Rivers, Rapids/White Water Meadows</v>
      </c>
      <c r="D81">
        <v>8</v>
      </c>
      <c r="E81" t="str">
        <v>Undead</v>
      </c>
      <c r="F81" t="str">
        <v>Standard Fight</v>
      </c>
      <c r="G81">
        <v>109</v>
      </c>
    </row>
    <row r="82">
      <c r="A82">
        <v>81</v>
      </c>
      <c r="B82" t="str">
        <v>#81 – Lvl 8 Undead – Rivers/Autumn Forest</v>
      </c>
      <c r="C82" t="str">
        <v>Rivers/Autumn Forest</v>
      </c>
      <c r="D82">
        <v>8</v>
      </c>
      <c r="E82" t="str">
        <v>Undead</v>
      </c>
      <c r="F82" t="str">
        <v>Boss Fight</v>
      </c>
      <c r="G82">
        <v>103</v>
      </c>
    </row>
    <row r="83">
      <c r="A83">
        <v>82</v>
      </c>
      <c r="B83" t="str">
        <v>#82 – Lvl 8 Undead – Rivers/White Water Meadows</v>
      </c>
      <c r="C83" t="str">
        <v>Rivers/White Water Meadows</v>
      </c>
      <c r="D83">
        <v>8</v>
      </c>
      <c r="E83" t="str">
        <v>Undead</v>
      </c>
      <c r="F83" t="str">
        <v>Standard Fight</v>
      </c>
      <c r="G83">
        <v>109</v>
      </c>
    </row>
    <row r="84">
      <c r="A84">
        <v>83</v>
      </c>
      <c r="B84" t="str">
        <v>#83 – Lvl 8 Undead – Tavern/Cellars</v>
      </c>
      <c r="C84" t="str">
        <v>Tavern/Cellars</v>
      </c>
      <c r="D84">
        <v>8</v>
      </c>
      <c r="E84" t="str">
        <v>Undead</v>
      </c>
      <c r="F84" t="str">
        <v>Guardian Post</v>
      </c>
      <c r="G84">
        <v>105</v>
      </c>
    </row>
    <row r="85">
      <c r="A85">
        <v>84</v>
      </c>
      <c r="B85" t="str">
        <v>#84 – Lvl 8 Undead – Tavern/The Limping Fox Inn</v>
      </c>
      <c r="C85" t="str">
        <v>Tavern/The Limping Fox Inn</v>
      </c>
      <c r="D85">
        <v>8</v>
      </c>
      <c r="E85" t="str">
        <v>Undead</v>
      </c>
      <c r="F85" t="str">
        <v>Control Zone</v>
      </c>
      <c r="G85">
        <v>102</v>
      </c>
    </row>
    <row r="86">
      <c r="A86">
        <v>85</v>
      </c>
      <c r="B86" t="str">
        <v>#85 – Lvl 8 Undead – Wilderness/Waterfall-fed Pool</v>
      </c>
      <c r="C86" t="str">
        <v>Wilderness/Waterfall-fed Pool</v>
      </c>
      <c r="D86">
        <v>8</v>
      </c>
      <c r="E86" t="str">
        <v>Undead</v>
      </c>
      <c r="F86" t="str">
        <v>Rival Warband</v>
      </c>
      <c r="G86">
        <v>35</v>
      </c>
    </row>
    <row r="87">
      <c r="A87">
        <v>86</v>
      </c>
      <c r="B87" t="str">
        <v>#86 – Lvl 9 Aberrant – Ocean/Lagoon Kraken Attack</v>
      </c>
      <c r="C87" t="str">
        <v>Ocean/Lagoon Kraken Attack</v>
      </c>
      <c r="D87">
        <v>9</v>
      </c>
      <c r="E87" t="str">
        <v>Aberrant</v>
      </c>
      <c r="F87" t="str">
        <v>Guardian Post</v>
      </c>
      <c r="G87">
        <v>95</v>
      </c>
    </row>
    <row r="88">
      <c r="A88">
        <v>87</v>
      </c>
      <c r="B88" t="str">
        <v>#87 – Lvl 9 Aberrant – Rivers/Duergar Outpost</v>
      </c>
      <c r="C88" t="str">
        <v>Rivers/Duergar Outpost</v>
      </c>
      <c r="D88">
        <v>9</v>
      </c>
      <c r="E88" t="str">
        <v>Aberrant</v>
      </c>
      <c r="F88" t="str">
        <v>Control Zone</v>
      </c>
      <c r="G88">
        <v>94</v>
      </c>
    </row>
    <row r="89">
      <c r="A89">
        <v>88</v>
      </c>
      <c r="B89" t="str">
        <v>#88 – Lvl 9 Aberrant – Rivers/River Chase</v>
      </c>
      <c r="C89" t="str">
        <v>Rivers/River Chase</v>
      </c>
      <c r="D89">
        <v>9</v>
      </c>
      <c r="E89" t="str">
        <v>Aberrant</v>
      </c>
      <c r="F89" t="str">
        <v>Control Zone</v>
      </c>
      <c r="G89">
        <v>92</v>
      </c>
    </row>
    <row r="90">
      <c r="A90">
        <v>89</v>
      </c>
      <c r="B90" t="str">
        <v>#89 – Lvl 9 Demonic – Dungeon/Shadows of Madness</v>
      </c>
      <c r="C90" t="str">
        <v>Dungeon/Shadows of Madness</v>
      </c>
      <c r="D90">
        <v>9</v>
      </c>
      <c r="E90" t="str">
        <v>Demonic</v>
      </c>
      <c r="F90" t="str">
        <v>Standard Fight</v>
      </c>
      <c r="G90">
        <v>110</v>
      </c>
    </row>
    <row r="91">
      <c r="A91">
        <v>90</v>
      </c>
      <c r="B91" t="str">
        <v>#90 – Lvl 9 Demonic – Tavern/Yawning Portal</v>
      </c>
      <c r="C91" t="str">
        <v>Tavern/Yawning Portal</v>
      </c>
      <c r="D91">
        <v>9</v>
      </c>
      <c r="E91" t="str">
        <v>Demonic</v>
      </c>
      <c r="F91" t="str">
        <v>Standard Fight</v>
      </c>
      <c r="G91">
        <v>99</v>
      </c>
    </row>
    <row r="92">
      <c r="A92">
        <v>91</v>
      </c>
      <c r="B92" t="str">
        <v>#91 – Lvl 9 Demonic – Urban/Acid Dungeons - The Laboratory</v>
      </c>
      <c r="C92" t="str">
        <v>Urban/Acid Dungeons - The Laboratory</v>
      </c>
      <c r="D92">
        <v>9</v>
      </c>
      <c r="E92" t="str">
        <v>Demonic</v>
      </c>
      <c r="F92" t="str">
        <v>Standard Fight</v>
      </c>
      <c r="G92">
        <v>100</v>
      </c>
    </row>
    <row r="93">
      <c r="A93">
        <v>92</v>
      </c>
      <c r="B93" t="str">
        <v>#92 – Lvl 9 Demonic – Urban/Noble Experiments</v>
      </c>
      <c r="C93" t="str">
        <v>Urban/Noble Experiments</v>
      </c>
      <c r="D93">
        <v>9</v>
      </c>
      <c r="E93" t="str">
        <v>Demonic</v>
      </c>
      <c r="F93" t="str">
        <v>Standard Fight</v>
      </c>
      <c r="G93">
        <v>90</v>
      </c>
    </row>
    <row r="94">
      <c r="A94">
        <v>93</v>
      </c>
      <c r="B94" t="str">
        <v>#93 – Lvl 9 Goblinoid – Rivers, Rapids/Autumn Forest</v>
      </c>
      <c r="C94" t="str">
        <v>Rivers, Rapids/Autumn Forest</v>
      </c>
      <c r="D94">
        <v>9</v>
      </c>
      <c r="E94" t="str">
        <v>Goblinoid</v>
      </c>
      <c r="F94" t="str">
        <v>Boss Fight</v>
      </c>
      <c r="G94">
        <v>102</v>
      </c>
    </row>
    <row r="95">
      <c r="A95">
        <v>94</v>
      </c>
      <c r="B95" t="str">
        <v>#94 – Lvl 9 Goblinoid – Underdark/Silken paths and Underdark landscape</v>
      </c>
      <c r="C95" t="str">
        <v>Underdark/Silken paths and Underdark landscape</v>
      </c>
      <c r="D95">
        <v>9</v>
      </c>
      <c r="E95" t="str">
        <v>Goblinoid</v>
      </c>
      <c r="F95" t="str">
        <v>Boss Fight</v>
      </c>
      <c r="G95">
        <v>97</v>
      </c>
    </row>
    <row r="96">
      <c r="A96">
        <v>95</v>
      </c>
      <c r="B96" t="str">
        <v>#95 – Lvl 9 Shapechanger – Rivers/Two Streams Meet</v>
      </c>
      <c r="C96" t="str">
        <v>Rivers/Two Streams Meet</v>
      </c>
      <c r="D96">
        <v>9</v>
      </c>
      <c r="E96" t="str">
        <v>Shapechanger</v>
      </c>
      <c r="F96" t="str">
        <v>Skirmish Line</v>
      </c>
      <c r="G96">
        <v>70</v>
      </c>
    </row>
    <row r="97">
      <c r="A97">
        <v>96</v>
      </c>
      <c r="B97" t="str">
        <v>#96 – Lvl 9 Shapechanger – Rivers/Vistani Camp and Riverside Encounters</v>
      </c>
      <c r="C97" t="str">
        <v>Rivers/Vistani Camp and Riverside Encounters</v>
      </c>
      <c r="D97">
        <v>9</v>
      </c>
      <c r="E97" t="str">
        <v>Shapechanger</v>
      </c>
      <c r="F97" t="str">
        <v>Caster Boss</v>
      </c>
      <c r="G97">
        <v>70</v>
      </c>
    </row>
    <row r="98">
      <c r="A98">
        <v>97</v>
      </c>
      <c r="B98" t="str">
        <v>#97 – Lvl 9 Shapechanger – Urban/Cathedral Square</v>
      </c>
      <c r="C98" t="str">
        <v>Urban/Cathedral Square</v>
      </c>
      <c r="D98">
        <v>9</v>
      </c>
      <c r="E98" t="str">
        <v>Shapechanger</v>
      </c>
      <c r="F98" t="str">
        <v>Standard Fight</v>
      </c>
      <c r="G98">
        <v>98</v>
      </c>
    </row>
    <row r="99">
      <c r="A99">
        <v>98</v>
      </c>
      <c r="B99" t="str">
        <v>#98 – Lvl 9 Undead – Arctic/Winter Pursuit</v>
      </c>
      <c r="C99" t="str">
        <v>Arctic/Winter Pursuit</v>
      </c>
      <c r="D99">
        <v>9</v>
      </c>
      <c r="E99" t="str">
        <v>Undead</v>
      </c>
      <c r="F99" t="str">
        <v>Control Zone</v>
      </c>
      <c r="G99">
        <v>105</v>
      </c>
    </row>
    <row r="100">
      <c r="A100">
        <v>99</v>
      </c>
      <c r="B100" t="str">
        <v>#99 – Lvl 9 Undead – Dungeon/Flesh Dungeon</v>
      </c>
      <c r="C100" t="str">
        <v>Dungeon/Flesh Dungeon</v>
      </c>
      <c r="D100">
        <v>9</v>
      </c>
      <c r="E100" t="str">
        <v>Undead</v>
      </c>
      <c r="F100" t="str">
        <v>Standard Fight</v>
      </c>
      <c r="G100">
        <v>110</v>
      </c>
    </row>
    <row r="101">
      <c r="A101">
        <v>100</v>
      </c>
      <c r="B101" t="str">
        <v>#100 – Lvl 9 Undead – Tavern/Taphouse</v>
      </c>
      <c r="C101" t="str">
        <v>Tavern/Taphouse</v>
      </c>
      <c r="D101">
        <v>9</v>
      </c>
      <c r="E101" t="str">
        <v>Undead</v>
      </c>
      <c r="F101" t="str">
        <v>Standard Fight</v>
      </c>
      <c r="G101">
        <v>102</v>
      </c>
    </row>
    <row r="102">
      <c r="A102">
        <v>101</v>
      </c>
      <c r="B102" t="str">
        <v>#101 – Lvl 9 Undead – Tavern/The Drunken Goat Inn</v>
      </c>
      <c r="C102" t="str">
        <v>Tavern/The Drunken Goat Inn</v>
      </c>
      <c r="D102">
        <v>9</v>
      </c>
      <c r="E102" t="str">
        <v>Undead</v>
      </c>
      <c r="F102" t="str">
        <v>Boss Fight</v>
      </c>
      <c r="G102">
        <v>103</v>
      </c>
    </row>
    <row r="103">
      <c r="A103">
        <v>102</v>
      </c>
      <c r="B103" t="str">
        <v>#102 – Lvl 9 Undead – Underdark/Dragon's Lair</v>
      </c>
      <c r="C103" t="str">
        <v>Underdark/Dragon's Lair</v>
      </c>
      <c r="D103">
        <v>9</v>
      </c>
      <c r="E103" t="str">
        <v>Undead</v>
      </c>
      <c r="F103" t="str">
        <v>Standard Fight</v>
      </c>
      <c r="G103">
        <v>99</v>
      </c>
    </row>
    <row r="104">
      <c r="A104">
        <v>103</v>
      </c>
      <c r="B104" t="str">
        <v>#103 – Lvl 9 Undead – Underdark/Halls of the Spidergod Cult</v>
      </c>
      <c r="C104" t="str">
        <v>Underdark/Halls of the Spidergod Cult</v>
      </c>
      <c r="D104">
        <v>9</v>
      </c>
      <c r="E104" t="str">
        <v>Undead</v>
      </c>
      <c r="F104" t="str">
        <v>Defensive Holdout</v>
      </c>
      <c r="G104">
        <v>95</v>
      </c>
    </row>
    <row r="105">
      <c r="A105">
        <v>104</v>
      </c>
      <c r="B105" t="str">
        <v>#104 – Lvl 9 Undead – Underdark/Mind Flayer Colony</v>
      </c>
      <c r="C105" t="str">
        <v>Underdark/Mind Flayer Colony</v>
      </c>
      <c r="D105">
        <v>9</v>
      </c>
      <c r="E105" t="str">
        <v>Undead</v>
      </c>
      <c r="F105" t="str">
        <v>Standard Fight</v>
      </c>
      <c r="G105">
        <v>97</v>
      </c>
    </row>
    <row r="106">
      <c r="A106">
        <v>105</v>
      </c>
      <c r="B106" t="str">
        <v>#105 – Lvl 9 Undead – Underdark/Mournful Machinations</v>
      </c>
      <c r="C106" t="str">
        <v>Underdark/Mournful Machinations</v>
      </c>
      <c r="D106">
        <v>9</v>
      </c>
      <c r="E106" t="str">
        <v>Undead</v>
      </c>
      <c r="F106" t="str">
        <v>Standard Fight</v>
      </c>
      <c r="G106">
        <v>99</v>
      </c>
    </row>
    <row r="107">
      <c r="A107">
        <v>106</v>
      </c>
      <c r="B107" t="str">
        <v>#106 – Lvl 9 Undead – Underdark/Underdark Cascade</v>
      </c>
      <c r="C107" t="str">
        <v>Underdark/Underdark Cascade</v>
      </c>
      <c r="D107">
        <v>9</v>
      </c>
      <c r="E107" t="str">
        <v>Undead</v>
      </c>
      <c r="F107" t="str">
        <v>Control Zone</v>
      </c>
      <c r="G107">
        <v>95</v>
      </c>
    </row>
    <row r="108">
      <c r="A108">
        <v>107</v>
      </c>
      <c r="B108" t="str">
        <v>#107 – Lvl 9 Undead – Urban/Arabic Themed City</v>
      </c>
      <c r="C108" t="str">
        <v>Urban/Arabic Themed City</v>
      </c>
      <c r="D108">
        <v>9</v>
      </c>
      <c r="E108" t="str">
        <v>Undead</v>
      </c>
      <c r="F108" t="str">
        <v>Boss Fight</v>
      </c>
      <c r="G108">
        <v>110</v>
      </c>
    </row>
    <row r="109">
      <c r="A109">
        <v>108</v>
      </c>
      <c r="B109" t="str">
        <v>#108 – Lvl 9 Undead – Urban/City Jail and Haunted Prison</v>
      </c>
      <c r="C109" t="str">
        <v>Urban/City Jail and Haunted Prison</v>
      </c>
      <c r="D109">
        <v>9</v>
      </c>
      <c r="E109" t="str">
        <v>Undead</v>
      </c>
      <c r="F109" t="str">
        <v>Boss Fight</v>
      </c>
      <c r="G109">
        <v>94</v>
      </c>
    </row>
    <row r="110">
      <c r="A110">
        <v>109</v>
      </c>
      <c r="B110" t="str">
        <v>#109 – Lvl 9 Undead – Wilderness/Dirt Road Curve</v>
      </c>
      <c r="C110" t="str">
        <v>Wilderness/Dirt Road Curve</v>
      </c>
      <c r="D110">
        <v>9</v>
      </c>
      <c r="E110" t="str">
        <v>Undead</v>
      </c>
      <c r="F110" t="str">
        <v>Guardian Post</v>
      </c>
      <c r="G110">
        <v>75</v>
      </c>
    </row>
    <row r="111">
      <c r="A111">
        <v>110</v>
      </c>
      <c r="B111" t="str">
        <v>#110 – Lvl 9 Undead – Wilderness/Old Forest</v>
      </c>
      <c r="C111" t="str">
        <v>Wilderness/Old Forest</v>
      </c>
      <c r="D111">
        <v>9</v>
      </c>
      <c r="E111" t="str">
        <v>Undead</v>
      </c>
      <c r="F111" t="str">
        <v>Standard Fight</v>
      </c>
      <c r="G111">
        <v>62</v>
      </c>
    </row>
    <row r="112">
      <c r="A112">
        <v>111</v>
      </c>
      <c r="B112" t="str">
        <v>#111 – Lvl 10 Aberrant – Ocean/Seagrow Caves</v>
      </c>
      <c r="C112" t="str">
        <v>Ocean/Seagrow Caves</v>
      </c>
      <c r="D112">
        <v>10</v>
      </c>
      <c r="E112" t="str">
        <v>Aberrant</v>
      </c>
      <c r="F112" t="str">
        <v>Guardian Post</v>
      </c>
      <c r="G112">
        <v>99</v>
      </c>
    </row>
    <row r="113">
      <c r="A113">
        <v>112</v>
      </c>
      <c r="B113" t="str">
        <v>#112 – Lvl 10 Aberrant – Rivers, Rapids/Broken Bridge by the Falls</v>
      </c>
      <c r="C113" t="str">
        <v>Rivers, Rapids/Broken Bridge by the Falls</v>
      </c>
      <c r="D113">
        <v>10</v>
      </c>
      <c r="E113" t="str">
        <v>Aberrant</v>
      </c>
      <c r="F113" t="str">
        <v>Guardian Post</v>
      </c>
      <c r="G113">
        <v>97</v>
      </c>
    </row>
    <row r="114">
      <c r="A114">
        <v>113</v>
      </c>
      <c r="B114" t="str">
        <v>#113 – Lvl 10 Aberrant – Rivers, Rapids/Gravel Road Along a Creek</v>
      </c>
      <c r="C114" t="str">
        <v>Rivers, Rapids/Gravel Road Along a Creek</v>
      </c>
      <c r="D114">
        <v>10</v>
      </c>
      <c r="E114" t="str">
        <v>Aberrant</v>
      </c>
      <c r="F114" t="str">
        <v>Guardian Post</v>
      </c>
      <c r="G114">
        <v>99</v>
      </c>
    </row>
    <row r="115">
      <c r="A115">
        <v>114</v>
      </c>
      <c r="B115" t="str">
        <v>#114 – Lvl 10 Aberrant – Rivers, Rapids/Stone Bridge</v>
      </c>
      <c r="C115" t="str">
        <v>Rivers, Rapids/Stone Bridge</v>
      </c>
      <c r="D115">
        <v>10</v>
      </c>
      <c r="E115" t="str">
        <v>Aberrant</v>
      </c>
      <c r="F115" t="str">
        <v>Defensive Holdout</v>
      </c>
      <c r="G115">
        <v>92</v>
      </c>
    </row>
    <row r="116">
      <c r="A116">
        <v>115</v>
      </c>
      <c r="B116" t="str">
        <v>#115 – Lvl 10 Aberrant – Rivers/Broken Bridge by the Falls</v>
      </c>
      <c r="C116" t="str">
        <v>Rivers/Broken Bridge by the Falls</v>
      </c>
      <c r="D116">
        <v>10</v>
      </c>
      <c r="E116" t="str">
        <v>Aberrant</v>
      </c>
      <c r="F116" t="str">
        <v>Defensive Holdout</v>
      </c>
      <c r="G116">
        <v>99</v>
      </c>
    </row>
    <row r="117">
      <c r="A117">
        <v>116</v>
      </c>
      <c r="B117" t="str">
        <v>#116 – Lvl 10 Celestial – Wilderness/Elven Tree</v>
      </c>
      <c r="C117" t="str">
        <v>Wilderness/Elven Tree</v>
      </c>
      <c r="D117">
        <v>10</v>
      </c>
      <c r="E117" t="str">
        <v>Celestial</v>
      </c>
      <c r="F117" t="str">
        <v>Guardian Post</v>
      </c>
      <c r="G117">
        <v>78</v>
      </c>
    </row>
    <row r="118">
      <c r="A118">
        <v>117</v>
      </c>
      <c r="B118" t="str">
        <v>#117 – Lvl 10 Demonic – Urban/Modular Castle Interior</v>
      </c>
      <c r="C118" t="str">
        <v>Urban/Modular Castle Interior</v>
      </c>
      <c r="D118">
        <v>10</v>
      </c>
      <c r="E118" t="str">
        <v>Demonic</v>
      </c>
      <c r="F118" t="str">
        <v>Defensive Holdout</v>
      </c>
      <c r="G118">
        <v>96</v>
      </c>
    </row>
    <row r="119">
      <c r="A119">
        <v>118</v>
      </c>
      <c r="B119" t="str">
        <v>#118 – Lvl 10 Draconic – Rivers/Sailing on River Styx</v>
      </c>
      <c r="C119" t="str">
        <v>Rivers/Sailing on River Styx</v>
      </c>
      <c r="D119">
        <v>10</v>
      </c>
      <c r="E119" t="str">
        <v>Draconic</v>
      </c>
      <c r="F119" t="str">
        <v>Guardian Post</v>
      </c>
      <c r="G119">
        <v>97</v>
      </c>
    </row>
    <row r="120">
      <c r="A120">
        <v>119</v>
      </c>
      <c r="B120" t="str">
        <v>#119 – Lvl 10 Draconic – Underdark/Red Rocks Encounter</v>
      </c>
      <c r="C120" t="str">
        <v>Underdark/Red Rocks Encounter</v>
      </c>
      <c r="D120">
        <v>10</v>
      </c>
      <c r="E120" t="str">
        <v>Draconic</v>
      </c>
      <c r="F120" t="str">
        <v>Guardian Post</v>
      </c>
      <c r="G120">
        <v>94</v>
      </c>
    </row>
    <row r="121">
      <c r="A121">
        <v>120</v>
      </c>
      <c r="B121" t="str">
        <v>#120 – Lvl 10 Draconic – Wilderness/Fetid Pond and Underwater Caves</v>
      </c>
      <c r="C121" t="str">
        <v>Wilderness/Fetid Pond and Underwater Caves</v>
      </c>
      <c r="D121">
        <v>10</v>
      </c>
      <c r="E121" t="str">
        <v>Draconic</v>
      </c>
      <c r="F121" t="str">
        <v>Boss Fight</v>
      </c>
      <c r="G121">
        <v>72</v>
      </c>
    </row>
    <row r="122">
      <c r="A122">
        <v>121</v>
      </c>
      <c r="B122" t="str">
        <v>#121 – Lvl 10 Draconic – Wilderness/Forgotten Ruins</v>
      </c>
      <c r="C122" t="str">
        <v>Wilderness/Forgotten Ruins</v>
      </c>
      <c r="D122">
        <v>10</v>
      </c>
      <c r="E122" t="str">
        <v>Draconic</v>
      </c>
      <c r="F122" t="str">
        <v>Standard Fight</v>
      </c>
      <c r="G122">
        <v>71</v>
      </c>
    </row>
    <row r="123">
      <c r="A123">
        <v>122</v>
      </c>
      <c r="B123" t="str">
        <v>#122 – Lvl 10 Draconic – Wilderness/Spider Lair</v>
      </c>
      <c r="C123" t="str">
        <v>Wilderness/Spider Lair</v>
      </c>
      <c r="D123">
        <v>10</v>
      </c>
      <c r="E123" t="str">
        <v>Draconic</v>
      </c>
      <c r="F123" t="str">
        <v>Defensive Holdout</v>
      </c>
      <c r="G123">
        <v>70</v>
      </c>
    </row>
    <row r="124">
      <c r="A124">
        <v>123</v>
      </c>
      <c r="B124" t="str">
        <v>#123 – Lvl 10 Humanoid – Ocean/Remote Island</v>
      </c>
      <c r="C124" t="str">
        <v>Ocean/Remote Island</v>
      </c>
      <c r="D124">
        <v>10</v>
      </c>
      <c r="E124" t="str">
        <v>Humanoid</v>
      </c>
      <c r="F124" t="str">
        <v>Defensive Holdout</v>
      </c>
      <c r="G124">
        <v>99</v>
      </c>
    </row>
    <row r="125">
      <c r="A125">
        <v>124</v>
      </c>
      <c r="B125" t="str">
        <v>#124 – Lvl 10 Infernal – Ocean/Lonely Fortress by the Sea</v>
      </c>
      <c r="C125" t="str">
        <v>Ocean/Lonely Fortress by the Sea</v>
      </c>
      <c r="D125">
        <v>10</v>
      </c>
      <c r="E125" t="str">
        <v>Infernal</v>
      </c>
      <c r="F125" t="str">
        <v>Standard Fight</v>
      </c>
      <c r="G125">
        <v>97</v>
      </c>
    </row>
    <row r="126">
      <c r="A126">
        <v>125</v>
      </c>
      <c r="B126" t="str">
        <v>#125 – Lvl 10 Infernal – Ocean/The Sea Queen</v>
      </c>
      <c r="C126" t="str">
        <v>Ocean/The Sea Queen</v>
      </c>
      <c r="D126">
        <v>10</v>
      </c>
      <c r="E126" t="str">
        <v>Infernal</v>
      </c>
      <c r="F126" t="str">
        <v>Standard Fight</v>
      </c>
      <c r="G126">
        <v>93</v>
      </c>
    </row>
    <row r="127">
      <c r="A127">
        <v>126</v>
      </c>
      <c r="B127" t="str">
        <v>#126 – Lvl 10 Shapechanger – Ocean/Haunted Wreck</v>
      </c>
      <c r="C127" t="str">
        <v>Ocean/Haunted Wreck</v>
      </c>
      <c r="D127">
        <v>10</v>
      </c>
      <c r="E127" t="str">
        <v>Shapechanger</v>
      </c>
      <c r="F127" t="str">
        <v>Guardian Post</v>
      </c>
      <c r="G127">
        <v>99</v>
      </c>
    </row>
    <row r="128">
      <c r="A128">
        <v>127</v>
      </c>
      <c r="B128" t="str">
        <v>#127 – Lvl 10 Shapechanger – Rivers/Watermill Defence</v>
      </c>
      <c r="C128" t="str">
        <v>Rivers/Watermill Defence</v>
      </c>
      <c r="D128">
        <v>10</v>
      </c>
      <c r="E128" t="str">
        <v>Shapechanger</v>
      </c>
      <c r="F128" t="str">
        <v>Caster Boss</v>
      </c>
      <c r="G128">
        <v>71</v>
      </c>
    </row>
    <row r="129">
      <c r="A129">
        <v>128</v>
      </c>
      <c r="B129" t="str">
        <v>#128 – Lvl 10 Undead – Ocean/Underwater</v>
      </c>
      <c r="C129" t="str">
        <v>Ocean/Underwater</v>
      </c>
      <c r="D129">
        <v>10</v>
      </c>
      <c r="E129" t="str">
        <v>Undead</v>
      </c>
      <c r="F129" t="str">
        <v>Guardian Post</v>
      </c>
      <c r="G129">
        <v>104</v>
      </c>
    </row>
    <row r="130">
      <c r="A130">
        <v>129</v>
      </c>
      <c r="B130" t="str">
        <v>#129 – Lvl 10 Undead – Ocean/Warship, beach and pure ocean scenes</v>
      </c>
      <c r="C130" t="str">
        <v>Ocean/Warship, beach and pure ocean scenes</v>
      </c>
      <c r="D130">
        <v>10</v>
      </c>
      <c r="E130" t="str">
        <v>Undead</v>
      </c>
      <c r="F130" t="str">
        <v>Defensive Holdout</v>
      </c>
      <c r="G130">
        <v>104</v>
      </c>
    </row>
    <row r="131">
      <c r="A131">
        <v>130</v>
      </c>
      <c r="B131" t="str">
        <v>#130 – Lvl 10 Undead – Urban/City</v>
      </c>
      <c r="C131" t="str">
        <v>Urban/City</v>
      </c>
      <c r="D131">
        <v>10</v>
      </c>
      <c r="E131" t="str">
        <v>Undead</v>
      </c>
      <c r="F131" t="str">
        <v>Boss Fight</v>
      </c>
      <c r="G131">
        <v>95</v>
      </c>
    </row>
    <row r="132">
      <c r="A132">
        <v>131</v>
      </c>
      <c r="B132" t="str">
        <v>#131 – Lvl 10 Undead – Urban/Magic Shop</v>
      </c>
      <c r="C132" t="str">
        <v>Urban/Magic Shop</v>
      </c>
      <c r="D132">
        <v>10</v>
      </c>
      <c r="E132" t="str">
        <v>Undead</v>
      </c>
      <c r="F132" t="str">
        <v>Boss Fight</v>
      </c>
      <c r="G132">
        <v>97</v>
      </c>
    </row>
    <row r="133">
      <c r="A133">
        <v>132</v>
      </c>
      <c r="B133" t="str">
        <v>#132 – Lvl 10 Undead – Urban/Merchant's House</v>
      </c>
      <c r="C133" t="str">
        <v>Urban/Merchant's House</v>
      </c>
      <c r="D133">
        <v>10</v>
      </c>
      <c r="E133" t="str">
        <v>Undead</v>
      </c>
      <c r="F133" t="str">
        <v>Guardian Post</v>
      </c>
      <c r="G133">
        <v>93</v>
      </c>
    </row>
    <row r="134">
      <c r="A134">
        <v>133</v>
      </c>
      <c r="B134" t="str">
        <v>#133 – Lvl 10 Undead – Village/The Village</v>
      </c>
      <c r="C134" t="str">
        <v>Village/The Village</v>
      </c>
      <c r="D134">
        <v>10</v>
      </c>
      <c r="E134" t="str">
        <v>Undead</v>
      </c>
      <c r="F134" t="str">
        <v>Boss Fight</v>
      </c>
      <c r="G134">
        <v>90</v>
      </c>
    </row>
    <row r="135">
      <c r="A135">
        <v>134</v>
      </c>
      <c r="B135" t="str">
        <v>#134 – Lvl 10 Undead – Village/Village in the Shadowfell</v>
      </c>
      <c r="C135" t="str">
        <v>Village/Village in the Shadowfell</v>
      </c>
      <c r="D135">
        <v>10</v>
      </c>
      <c r="E135" t="str">
        <v>Undead</v>
      </c>
      <c r="F135" t="str">
        <v>Defensive Holdout</v>
      </c>
      <c r="G135">
        <v>90</v>
      </c>
    </row>
    <row r="136">
      <c r="A136">
        <v>135</v>
      </c>
      <c r="B136" t="str">
        <v>#135 – Lvl 10 Undead – Wilderness/Ancient Ruins</v>
      </c>
      <c r="C136" t="str">
        <v>Wilderness/Ancient Ruins</v>
      </c>
      <c r="D136">
        <v>10</v>
      </c>
      <c r="E136" t="str">
        <v>Undead</v>
      </c>
      <c r="F136" t="str">
        <v>Boss Fight</v>
      </c>
      <c r="G136">
        <v>90</v>
      </c>
    </row>
    <row r="137">
      <c r="A137">
        <v>136</v>
      </c>
      <c r="B137" t="str">
        <v>#136 – Lvl 11 Aberrant – Ocean/Clifftop Observatory</v>
      </c>
      <c r="C137" t="str">
        <v>Ocean/Clifftop Observatory</v>
      </c>
      <c r="D137">
        <v>11</v>
      </c>
      <c r="E137" t="str">
        <v>Aberrant</v>
      </c>
      <c r="F137" t="str">
        <v>Standard Fight</v>
      </c>
      <c r="G137">
        <v>101</v>
      </c>
    </row>
    <row r="138">
      <c r="A138">
        <v>137</v>
      </c>
      <c r="B138" t="str">
        <v>#137 – Lvl 11 Demonic – Underdark/Fiery</v>
      </c>
      <c r="C138" t="str">
        <v>Underdark/Fiery</v>
      </c>
      <c r="D138">
        <v>11</v>
      </c>
      <c r="E138" t="str">
        <v>Demonic</v>
      </c>
      <c r="F138" t="str">
        <v>Standard Fight</v>
      </c>
      <c r="G138">
        <v>95</v>
      </c>
    </row>
    <row r="139">
      <c r="A139">
        <v>138</v>
      </c>
      <c r="B139" t="str">
        <v>#138 – Lvl 11 Demonic – Urban/Underground fighting pit</v>
      </c>
      <c r="C139" t="str">
        <v>Urban/Underground fighting pit</v>
      </c>
      <c r="D139">
        <v>11</v>
      </c>
      <c r="E139" t="str">
        <v>Demonic</v>
      </c>
      <c r="F139" t="str">
        <v>Control Zone</v>
      </c>
      <c r="G139">
        <v>91</v>
      </c>
    </row>
    <row r="140">
      <c r="A140">
        <v>139</v>
      </c>
      <c r="B140" t="str">
        <v>#139 – Lvl 11 Draconic – Arctic/Throne Rooms</v>
      </c>
      <c r="C140" t="str">
        <v>Arctic/Throne Rooms</v>
      </c>
      <c r="D140">
        <v>11</v>
      </c>
      <c r="E140" t="str">
        <v>Draconic</v>
      </c>
      <c r="F140" t="str">
        <v>Defensive Holdout</v>
      </c>
      <c r="G140">
        <v>100</v>
      </c>
    </row>
    <row r="141">
      <c r="A141">
        <v>140</v>
      </c>
      <c r="B141" t="str">
        <v>#140 – Lvl 11 Draconic – Wilderness/Camp in the Woods</v>
      </c>
      <c r="C141" t="str">
        <v>Wilderness/Camp in the Woods</v>
      </c>
      <c r="D141">
        <v>11</v>
      </c>
      <c r="E141" t="str">
        <v>Draconic</v>
      </c>
      <c r="F141" t="str">
        <v>Boss Fight</v>
      </c>
      <c r="G141">
        <v>86</v>
      </c>
    </row>
    <row r="142">
      <c r="A142">
        <v>141</v>
      </c>
      <c r="B142" t="str">
        <v>#141 – Lvl 11 Draconic – Wilderness/Cave Behind the Waterfall</v>
      </c>
      <c r="C142" t="str">
        <v>Wilderness/Cave Behind the Waterfall</v>
      </c>
      <c r="D142">
        <v>11</v>
      </c>
      <c r="E142" t="str">
        <v>Draconic</v>
      </c>
      <c r="F142" t="str">
        <v>Boss Fight</v>
      </c>
      <c r="G142">
        <v>89</v>
      </c>
    </row>
    <row r="143">
      <c r="A143">
        <v>142</v>
      </c>
      <c r="B143" t="str">
        <v>#142 – Lvl 11 Draconic – Wilderness/Swamp Ruins</v>
      </c>
      <c r="C143" t="str">
        <v>Wilderness/Swamp Ruins</v>
      </c>
      <c r="D143">
        <v>11</v>
      </c>
      <c r="E143" t="str">
        <v>Draconic</v>
      </c>
      <c r="F143" t="str">
        <v>Pincer Attack</v>
      </c>
      <c r="G143">
        <v>58</v>
      </c>
    </row>
    <row r="144">
      <c r="A144">
        <v>143</v>
      </c>
      <c r="B144" t="str">
        <v>#143 – Lvl 11 Infernal – Wilderness/Forsaken Pyramid</v>
      </c>
      <c r="C144" t="str">
        <v>Wilderness/Forsaken Pyramid</v>
      </c>
      <c r="D144">
        <v>11</v>
      </c>
      <c r="E144" t="str">
        <v>Infernal</v>
      </c>
      <c r="F144" t="str">
        <v>Standard Fight</v>
      </c>
      <c r="G144">
        <v>96</v>
      </c>
    </row>
    <row r="145">
      <c r="A145">
        <v>144</v>
      </c>
      <c r="B145" t="str">
        <v>#144 – Lvl 11 Shapechanger – Ocean/Whispering Walls of the Sea</v>
      </c>
      <c r="C145" t="str">
        <v>Ocean/Whispering Walls of the Sea</v>
      </c>
      <c r="D145">
        <v>11</v>
      </c>
      <c r="E145" t="str">
        <v>Shapechanger</v>
      </c>
      <c r="F145" t="str">
        <v>Standard Fight</v>
      </c>
      <c r="G145">
        <v>96</v>
      </c>
    </row>
    <row r="146">
      <c r="A146">
        <v>145</v>
      </c>
      <c r="B146" t="str">
        <v>#145 – Lvl 11 Shapechanger – Wilderness/Mirkwood Encounters</v>
      </c>
      <c r="C146" t="str">
        <v>Wilderness/Mirkwood Encounters</v>
      </c>
      <c r="D146">
        <v>11</v>
      </c>
      <c r="E146" t="str">
        <v>Shapechanger</v>
      </c>
      <c r="F146" t="str">
        <v>Pincer Attack</v>
      </c>
      <c r="G146">
        <v>65</v>
      </c>
    </row>
    <row r="147">
      <c r="A147">
        <v>146</v>
      </c>
      <c r="B147" t="str">
        <v>#146 – Lvl 11 Undead – Rivers/Dragonbone Valley</v>
      </c>
      <c r="C147" t="str">
        <v>Rivers/Dragonbone Valley</v>
      </c>
      <c r="D147">
        <v>11</v>
      </c>
      <c r="E147" t="str">
        <v>Undead</v>
      </c>
      <c r="F147" t="str">
        <v>Defensive Holdout</v>
      </c>
      <c r="G147">
        <v>95</v>
      </c>
    </row>
    <row r="148">
      <c r="A148">
        <v>147</v>
      </c>
      <c r="B148" t="str">
        <v>#147 – Lvl 11 Undead – Underdark/Clifftop Ruins</v>
      </c>
      <c r="C148" t="str">
        <v>Underdark/Clifftop Ruins</v>
      </c>
      <c r="D148">
        <v>11</v>
      </c>
      <c r="E148" t="str">
        <v>Undead</v>
      </c>
      <c r="F148" t="str">
        <v>Caster Boss</v>
      </c>
      <c r="G148">
        <v>100</v>
      </c>
    </row>
    <row r="149">
      <c r="A149">
        <v>148</v>
      </c>
      <c r="B149" t="str">
        <v>#148 – Lvl 11 Undead – Urban/Castle Basement and Crypts</v>
      </c>
      <c r="C149" t="str">
        <v>Urban/Castle Basement and Crypts</v>
      </c>
      <c r="D149">
        <v>11</v>
      </c>
      <c r="E149" t="str">
        <v>Undead</v>
      </c>
      <c r="F149" t="str">
        <v>Caster Boss</v>
      </c>
      <c r="G149">
        <v>104</v>
      </c>
    </row>
    <row r="150">
      <c r="A150">
        <v>149</v>
      </c>
      <c r="B150" t="str">
        <v>#149 – Lvl 11 Undead – Urban/Doomed Dockyard Defense</v>
      </c>
      <c r="C150" t="str">
        <v>Urban/Doomed Dockyard Defense</v>
      </c>
      <c r="D150">
        <v>11</v>
      </c>
      <c r="E150" t="str">
        <v>Undead</v>
      </c>
      <c r="F150" t="str">
        <v>Caster Boss</v>
      </c>
      <c r="G150">
        <v>93</v>
      </c>
    </row>
    <row r="151">
      <c r="A151">
        <v>150</v>
      </c>
      <c r="B151" t="str">
        <v>#150 – Lvl 12 Demonic – Rivers, Rapids/River Styx</v>
      </c>
      <c r="C151" t="str">
        <v>Rivers, Rapids/River Styx</v>
      </c>
      <c r="D151">
        <v>12</v>
      </c>
      <c r="E151" t="str">
        <v>Demonic</v>
      </c>
      <c r="F151" t="str">
        <v>Standard Fight</v>
      </c>
      <c r="G151">
        <v>103</v>
      </c>
    </row>
    <row r="152">
      <c r="A152">
        <v>151</v>
      </c>
      <c r="B152" t="str">
        <v>#151 – Lvl 12 Demonic – Wilderness/Shadowland</v>
      </c>
      <c r="C152" t="str">
        <v>Wilderness/Shadowland</v>
      </c>
      <c r="D152">
        <v>12</v>
      </c>
      <c r="E152" t="str">
        <v>Demonic</v>
      </c>
      <c r="F152" t="str">
        <v>Brute Rush</v>
      </c>
      <c r="G152">
        <v>71</v>
      </c>
    </row>
    <row r="153">
      <c r="A153">
        <v>152</v>
      </c>
      <c r="B153" t="str">
        <v>#152 – Lvl 12 Giant – Rivers/Riverside encounter</v>
      </c>
      <c r="C153" t="str">
        <v>Rivers/Riverside encounter</v>
      </c>
      <c r="D153">
        <v>12</v>
      </c>
      <c r="E153" t="str">
        <v>Giant</v>
      </c>
      <c r="F153" t="str">
        <v>Skirmish Line</v>
      </c>
      <c r="G153">
        <v>73</v>
      </c>
    </row>
    <row r="154">
      <c r="A154">
        <v>153</v>
      </c>
      <c r="B154" t="str">
        <v>#153 – Lvl 12 Goblinoid – Wilderness/Goblin Ambush</v>
      </c>
      <c r="C154" t="str">
        <v>Wilderness/Goblin Ambush</v>
      </c>
      <c r="D154">
        <v>12</v>
      </c>
      <c r="E154" t="str">
        <v>Goblinoid</v>
      </c>
      <c r="F154" t="str">
        <v>Boss Fight</v>
      </c>
      <c r="G154">
        <v>91</v>
      </c>
    </row>
    <row r="155">
      <c r="A155">
        <v>154</v>
      </c>
      <c r="B155" t="str">
        <v>#154 – Lvl 12 Shapechanger – Rivers/Rocky Gorge Pass</v>
      </c>
      <c r="C155" t="str">
        <v>Rivers/Rocky Gorge Pass</v>
      </c>
      <c r="D155">
        <v>12</v>
      </c>
      <c r="E155" t="str">
        <v>Shapechanger</v>
      </c>
      <c r="F155" t="str">
        <v>Rival Warband</v>
      </c>
      <c r="G155">
        <v>76</v>
      </c>
    </row>
    <row r="156">
      <c r="A156">
        <v>155</v>
      </c>
      <c r="B156" t="str">
        <v>#155 – Lvl 12 Undead – Rivers/Stone Bridge</v>
      </c>
      <c r="C156" t="str">
        <v>Rivers/Stone Bridge</v>
      </c>
      <c r="D156">
        <v>12</v>
      </c>
      <c r="E156" t="str">
        <v>Undead</v>
      </c>
      <c r="F156" t="str">
        <v>Skirmish Line</v>
      </c>
      <c r="G156">
        <v>81</v>
      </c>
    </row>
    <row r="157">
      <c r="A157">
        <v>156</v>
      </c>
      <c r="B157" t="str">
        <v>#156 – Lvl 13 Demonic – Wilderness/Goblin Camp</v>
      </c>
      <c r="C157" t="str">
        <v>Wilderness/Goblin Camp</v>
      </c>
      <c r="D157">
        <v>13</v>
      </c>
      <c r="E157" t="str">
        <v>Demonic</v>
      </c>
      <c r="F157" t="str">
        <v>Boss Fight</v>
      </c>
      <c r="G157">
        <v>88</v>
      </c>
    </row>
    <row r="158">
      <c r="A158">
        <v>157</v>
      </c>
      <c r="B158" t="str">
        <v>#157 – Lvl 13 Draconic – Ocean/Galleon</v>
      </c>
      <c r="C158" t="str">
        <v>Ocean/Galleon</v>
      </c>
      <c r="D158">
        <v>13</v>
      </c>
      <c r="E158" t="str">
        <v>Draconic</v>
      </c>
      <c r="F158" t="str">
        <v>Defensive Holdout</v>
      </c>
      <c r="G158">
        <v>100</v>
      </c>
    </row>
    <row r="159">
      <c r="A159">
        <v>158</v>
      </c>
      <c r="B159" t="str">
        <v>#158 – Lvl 13 Infernal – Wilderness/Old Misty Roads</v>
      </c>
      <c r="C159" t="str">
        <v>Wilderness/Old Misty Roads</v>
      </c>
      <c r="D159">
        <v>13</v>
      </c>
      <c r="E159" t="str">
        <v>Infernal</v>
      </c>
      <c r="F159" t="str">
        <v>Rival Warband</v>
      </c>
      <c r="G159">
        <v>78</v>
      </c>
    </row>
    <row r="160">
      <c r="A160">
        <v>159</v>
      </c>
      <c r="B160" t="str">
        <v>#159 – Lvl 13 Shapechanger – Wilderness/Goblin Cave</v>
      </c>
      <c r="C160" t="str">
        <v>Wilderness/Goblin Cave</v>
      </c>
      <c r="D160">
        <v>13</v>
      </c>
      <c r="E160" t="str">
        <v>Shapechanger</v>
      </c>
      <c r="F160" t="str">
        <v>Boss Fight</v>
      </c>
      <c r="G160">
        <v>86</v>
      </c>
    </row>
    <row r="161">
      <c r="A161">
        <v>160</v>
      </c>
      <c r="B161" t="str">
        <v>#160 – Lvl 13 Shapechanger – Wilderness/Grasslands</v>
      </c>
      <c r="C161" t="str">
        <v>Wilderness/Grasslands</v>
      </c>
      <c r="D161">
        <v>13</v>
      </c>
      <c r="E161" t="str">
        <v>Shapechanger</v>
      </c>
      <c r="F161" t="str">
        <v>Boss Fight</v>
      </c>
      <c r="G161">
        <v>87</v>
      </c>
    </row>
    <row r="162">
      <c r="A162">
        <v>161</v>
      </c>
      <c r="B162" t="str">
        <v>#161 – Lvl 13 Undead – Dungeon/Bloodsuckers</v>
      </c>
      <c r="C162" t="str">
        <v>Dungeon/Bloodsuckers</v>
      </c>
      <c r="D162">
        <v>13</v>
      </c>
      <c r="E162" t="str">
        <v>Undead</v>
      </c>
      <c r="F162" t="str">
        <v>Standard Fight</v>
      </c>
      <c r="G162">
        <v>108</v>
      </c>
    </row>
    <row r="163">
      <c r="A163">
        <v>162</v>
      </c>
      <c r="B163" t="str">
        <v>#162 – Lvl 13 Undead – Dungeon/Underpass of the Dead</v>
      </c>
      <c r="C163" t="str">
        <v>Dungeon/Underpass of the Dead</v>
      </c>
      <c r="D163">
        <v>13</v>
      </c>
      <c r="E163" t="str">
        <v>Undead</v>
      </c>
      <c r="F163" t="str">
        <v>Standard Fight</v>
      </c>
      <c r="G163">
        <v>107</v>
      </c>
    </row>
    <row r="164">
      <c r="A164">
        <v>163</v>
      </c>
      <c r="B164" t="str">
        <v>#163 – Lvl 13 Undead – Ocean/Shipwreck</v>
      </c>
      <c r="C164" t="str">
        <v>Ocean/Shipwreck</v>
      </c>
      <c r="D164">
        <v>13</v>
      </c>
      <c r="E164" t="str">
        <v>Undead</v>
      </c>
      <c r="F164" t="str">
        <v>Standard Fight</v>
      </c>
      <c r="G164">
        <v>98</v>
      </c>
    </row>
    <row r="165">
      <c r="A165">
        <v>164</v>
      </c>
      <c r="B165" t="str">
        <v>#164 – Lvl 13 Undead – Urban/City Streets</v>
      </c>
      <c r="C165" t="str">
        <v>Urban/City Streets</v>
      </c>
      <c r="D165">
        <v>13</v>
      </c>
      <c r="E165" t="str">
        <v>Undead</v>
      </c>
      <c r="F165" t="str">
        <v>Standard Fight</v>
      </c>
      <c r="G165">
        <v>92</v>
      </c>
    </row>
    <row r="166">
      <c r="A166">
        <v>165</v>
      </c>
      <c r="B166" t="str">
        <v>#165 – Lvl 14 Celestial – Urban/A Narrows Escape</v>
      </c>
      <c r="C166" t="str">
        <v>Urban/A Narrows Escape</v>
      </c>
      <c r="D166">
        <v>14</v>
      </c>
      <c r="E166" t="str">
        <v>Celestial</v>
      </c>
      <c r="F166" t="str">
        <v>Standard Fight</v>
      </c>
      <c r="G166">
        <v>94</v>
      </c>
    </row>
    <row r="167">
      <c r="A167">
        <v>166</v>
      </c>
      <c r="B167" t="str">
        <v>#166 – Lvl 14 Celestial – Urban/City Sewer and Thieves Guild Lair</v>
      </c>
      <c r="C167" t="str">
        <v>Urban/City Sewer and Thieves Guild Lair</v>
      </c>
      <c r="D167">
        <v>14</v>
      </c>
      <c r="E167" t="str">
        <v>Celestial</v>
      </c>
      <c r="F167" t="str">
        <v>Rival Warband</v>
      </c>
      <c r="G167">
        <v>95</v>
      </c>
    </row>
    <row r="168">
      <c r="A168">
        <v>167</v>
      </c>
      <c r="B168" t="str">
        <v>#167 – Lvl 14 Celestial – Urban/Merchant's District</v>
      </c>
      <c r="C168" t="str">
        <v>Urban/Merchant's District</v>
      </c>
      <c r="D168">
        <v>14</v>
      </c>
      <c r="E168" t="str">
        <v>Celestial</v>
      </c>
      <c r="F168" t="str">
        <v>Standard Fight</v>
      </c>
      <c r="G168">
        <v>94</v>
      </c>
    </row>
    <row r="169">
      <c r="A169">
        <v>168</v>
      </c>
      <c r="B169" t="str">
        <v>#168 – Lvl 14 Construct – Tavern/The Roaring Pony</v>
      </c>
      <c r="C169" t="str">
        <v>Tavern/The Roaring Pony</v>
      </c>
      <c r="D169">
        <v>14</v>
      </c>
      <c r="E169" t="str">
        <v>Construct</v>
      </c>
      <c r="F169" t="str">
        <v>Standard Fight</v>
      </c>
      <c r="G169">
        <v>97</v>
      </c>
    </row>
    <row r="170">
      <c r="A170">
        <v>169</v>
      </c>
      <c r="B170" t="str">
        <v>#169 – Lvl 14 Giant – Ocean/Beach</v>
      </c>
      <c r="C170" t="str">
        <v>Ocean/Beach</v>
      </c>
      <c r="D170">
        <v>14</v>
      </c>
      <c r="E170" t="str">
        <v>Giant</v>
      </c>
      <c r="F170" t="str">
        <v>Standard Fight</v>
      </c>
      <c r="G170">
        <v>103</v>
      </c>
    </row>
    <row r="171">
      <c r="A171">
        <v>170</v>
      </c>
      <c r="B171" t="str">
        <v>#170 – Lvl 14 Giant – Ocean/Enchantment by the Sea</v>
      </c>
      <c r="C171" t="str">
        <v>Ocean/Enchantment by the Sea</v>
      </c>
      <c r="D171">
        <v>14</v>
      </c>
      <c r="E171" t="str">
        <v>Giant</v>
      </c>
      <c r="F171" t="str">
        <v>Standard Fight</v>
      </c>
      <c r="G171">
        <v>103</v>
      </c>
    </row>
    <row r="172">
      <c r="A172">
        <v>171</v>
      </c>
      <c r="B172" t="str">
        <v>#171 – Lvl 14 Giant – Ocean/Pirates Hideout</v>
      </c>
      <c r="C172" t="str">
        <v>Ocean/Pirates Hideout</v>
      </c>
      <c r="D172">
        <v>14</v>
      </c>
      <c r="E172" t="str">
        <v>Giant</v>
      </c>
      <c r="F172" t="str">
        <v>Standard Fight</v>
      </c>
      <c r="G172">
        <v>94</v>
      </c>
    </row>
    <row r="173">
      <c r="A173">
        <v>172</v>
      </c>
      <c r="B173" t="str">
        <v>#172 – Lvl 14 Undead – Dungeon/Dwarven Ruins</v>
      </c>
      <c r="C173" t="str">
        <v>Dungeon/Dwarven Ruins</v>
      </c>
      <c r="D173">
        <v>14</v>
      </c>
      <c r="E173" t="str">
        <v>Undead</v>
      </c>
      <c r="F173" t="str">
        <v>Rival Warband</v>
      </c>
      <c r="G173">
        <v>104</v>
      </c>
    </row>
    <row r="174">
      <c r="A174">
        <v>173</v>
      </c>
      <c r="B174" t="str">
        <v>#173 – Lvl 14 Undead – Dungeon/Plain dungeon floor</v>
      </c>
      <c r="C174" t="str">
        <v>Dungeon/Plain dungeon floor</v>
      </c>
      <c r="D174">
        <v>14</v>
      </c>
      <c r="E174" t="str">
        <v>Undead</v>
      </c>
      <c r="F174" t="str">
        <v>Rival Warband</v>
      </c>
      <c r="G174">
        <v>105</v>
      </c>
    </row>
    <row r="175">
      <c r="A175">
        <v>174</v>
      </c>
      <c r="B175" t="str">
        <v>#174 – Lvl 14 Undead – Urban/Fightning Arena</v>
      </c>
      <c r="C175" t="str">
        <v>Urban/Fightning Arena</v>
      </c>
      <c r="D175">
        <v>14</v>
      </c>
      <c r="E175" t="str">
        <v>Undead</v>
      </c>
      <c r="F175" t="str">
        <v>Rival Warband</v>
      </c>
      <c r="G175">
        <v>98</v>
      </c>
    </row>
  </sheetData>
  <ignoredErrors>
    <ignoredError numberStoredAsText="1" sqref="A1:G1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2.83203125" customWidth="1"/>
    <col min="2" max="2" width="8.83203125" customWidth="1"/>
    <col min="3" max="3" width="55.83203125" customWidth="1"/>
    <col min="4" max="4" width="45.83203125" customWidth="1"/>
    <col min="5" max="5" width="6.83203125" customWidth="1"/>
    <col min="6" max="6" width="14.83203125" customWidth="1"/>
  </cols>
  <sheetData>
    <row r="1">
      <c r="A1" t="str">
        <v>RANDOM ENCOUNTER ROLLER</v>
      </c>
    </row>
    <row r="3">
      <c r="A3" t="str">
        <v>Press F9 (or Ctrl+Shift+F9) to roll a new encounter!</v>
      </c>
    </row>
    <row r="5">
      <c r="A5" t="str">
        <v>Random #</v>
      </c>
      <c r="C5" t="str">
        <v>Encounter Name</v>
      </c>
      <c r="D5" t="str">
        <v>Battlemap</v>
      </c>
      <c r="E5" t="str">
        <v>Level</v>
      </c>
      <c r="F5" t="str">
        <v>Type</v>
      </c>
    </row>
    <row r="6">
      <c r="A6">
        <f>RANDBETWEEN(1,174)</f>
        <v>1</v>
      </c>
      <c r="C6" t="str">
        <f>VLOOKUP(A6,Encounters!A2:G175,2,FALSE)</f>
        <v/>
      </c>
      <c r="D6" t="str">
        <f>VLOOKUP(A6,Encounters!A2:G175,3,FALSE)</f>
        <v/>
      </c>
      <c r="E6">
        <f>VLOOKUP(A6,Encounters!A2:G175,4,FALSE)</f>
        <v>0</v>
      </c>
      <c r="F6" t="str">
        <f>VLOOKUP(A6,Encounters!A2:G175,5,FALSE)</f>
        <v/>
      </c>
    </row>
    <row r="8">
      <c r="A8" t="str">
        <v>FILTER BY LEVEL (optional):</v>
      </c>
    </row>
    <row r="9">
      <c r="A9" t="str">
        <v>Min Level:</v>
      </c>
      <c r="B9">
        <v>6</v>
      </c>
    </row>
    <row r="10">
      <c r="A10" t="str">
        <v>Max Level:</v>
      </c>
      <c r="B10">
        <v>14</v>
      </c>
    </row>
    <row r="12">
      <c r="A12" t="str">
        <v>Matching encounters:</v>
      </c>
      <c r="B12">
        <f>COUNTIFS(Encounters!D2:D175,"&gt;="&amp;B9,Encounters!D2:D175,"&lt;="&amp;B10)</f>
        <v>174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Encounters</vt:lpstr>
      <vt:lpstr>Random Roller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